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project for resume\"/>
    </mc:Choice>
  </mc:AlternateContent>
  <bookViews>
    <workbookView xWindow="0" yWindow="0" windowWidth="19200" windowHeight="6930"/>
  </bookViews>
  <sheets>
    <sheet name="Dashboard" sheetId="10" r:id="rId1"/>
    <sheet name="Pivot_table_analysis" sheetId="6" r:id="rId2"/>
    <sheet name="sales_data" sheetId="2" r:id="rId3"/>
    <sheet name="expense_data" sheetId="3" r:id="rId4"/>
    <sheet name="budget_data" sheetId="4" r:id="rId5"/>
    <sheet name="customer_data" sheetId="5" r:id="rId6"/>
    <sheet name="region_table" sheetId="7" r:id="rId7"/>
    <sheet name="date_table" sheetId="9" r:id="rId8"/>
    <sheet name="Sheet2" sheetId="11" state="hidden" r:id="rId9"/>
  </sheets>
  <definedNames>
    <definedName name="_xlcn.WorksheetConnection_salesfinanceproject.xlsxBudget_Data1" hidden="1">Budget_Data[]</definedName>
    <definedName name="_xlcn.WorksheetConnection_salesfinanceproject.xlsxcustom_claender1" hidden="1">custom_claender[]</definedName>
    <definedName name="_xlcn.WorksheetConnection_salesfinanceproject.xlsxCustomer_Data1" hidden="1">Customer_Data[]</definedName>
    <definedName name="_xlcn.WorksheetConnection_salesfinanceproject.xlsxExpense_Data1" hidden="1">Expense_Data[]</definedName>
    <definedName name="_xlcn.WorksheetConnection_salesfinanceproject.xlsxRegion1" hidden="1">Region[]</definedName>
    <definedName name="_xlcn.WorksheetConnection_salesfinanceproject.xlsxSales_Data1" hidden="1">Sales_Data[]</definedName>
    <definedName name="ExternalData_1" localSheetId="4" hidden="1">budget_data!$A$1:$D$97</definedName>
    <definedName name="ExternalData_1" localSheetId="5" hidden="1">customer_data!$A$1:$F$201</definedName>
    <definedName name="ExternalData_1" localSheetId="7" hidden="1">date_table!$A$1:$A$1097</definedName>
    <definedName name="ExternalData_1" localSheetId="3" hidden="1">expense_data!$A$1:$D$301</definedName>
    <definedName name="ExternalData_1" localSheetId="2" hidden="1">sales_data!$A$1:$M$1001</definedName>
  </definedNames>
  <calcPr calcId="162913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  <pivotCache cacheId="10" r:id="rId20"/>
    <pivotCache cacheId="11" r:id="rId21"/>
    <pivotCache cacheId="12" r:id="rId22"/>
    <pivotCache cacheId="13" r:id="rId23"/>
    <pivotCache cacheId="14" r:id="rId24"/>
    <pivotCache cacheId="15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Data" name="Sales_Data" connection="WorksheetConnection_sales &amp; finance project.xlsx!Sales_Data"/>
          <x15:modelTable id="Region" name="Region" connection="WorksheetConnection_sales &amp; finance project.xlsx!Region"/>
          <x15:modelTable id="Expense_Data" name="Expense_Data" connection="WorksheetConnection_sales &amp; finance project.xlsx!Expense_Data"/>
          <x15:modelTable id="Customer_Data" name="Customer_Data" connection="WorksheetConnection_sales &amp; finance project.xlsx!Customer_Data"/>
          <x15:modelTable id="custom_claender" name="custom_claender" connection="WorksheetConnection_sales &amp; finance project.xlsx!custom_claender"/>
          <x15:modelTable id="Budget_Data" name="Budget_Data" connection="WorksheetConnection_sales &amp; finance project.xlsx!Budget_Data"/>
        </x15:modelTables>
        <x15:modelRelationships>
          <x15:modelRelationship fromTable="Sales_Data" fromColumn="Customer_Name" toTable="Customer_Data" toColumn="Customer_Name"/>
          <x15:modelRelationship fromTable="Sales_Data" fromColumn="Region" toTable="Region" toColumn="Region"/>
          <x15:modelRelationship fromTable="Sales_Data" fromColumn="Date" toTable="custom_claender" toColumn="date"/>
          <x15:modelRelationship fromTable="Budget_Data" fromColumn="Region" toTable="Region" toColumn="Region"/>
          <x15:modelRelationship fromTable="Budget_Data" fromColumn="Month" toTable="custom_claender" toColumn="date"/>
          <x15:modelRelationship fromTable="Expense_Data" fromColumn="Region" toTable="Region" toColumn="Region"/>
          <x15:modelRelationship fromTable="Expense_Data" fromColumn="Date" toTable="custom_claende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ustom_claender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E23" i="6" l="1"/>
  <c r="N21" i="6" l="1"/>
  <c r="H22" i="6"/>
  <c r="E22" i="6"/>
  <c r="N4" i="6"/>
  <c r="M1002" i="2" l="1"/>
  <c r="H6" i="11" l="1"/>
  <c r="O4" i="11"/>
  <c r="N4" i="11"/>
  <c r="M4" i="11"/>
  <c r="O5" i="6"/>
  <c r="O6" i="6"/>
  <c r="O7" i="6"/>
  <c r="O8" i="6"/>
  <c r="O4" i="6"/>
  <c r="M4" i="6"/>
  <c r="N22" i="6" l="1"/>
  <c r="N23" i="6"/>
  <c r="N24" i="6"/>
  <c r="N25" i="6"/>
  <c r="N17" i="6"/>
  <c r="M17" i="6"/>
  <c r="O17" i="6" s="1"/>
  <c r="M13" i="6" l="1"/>
  <c r="O13" i="6" s="1"/>
  <c r="M14" i="6" l="1"/>
  <c r="O14" i="6" s="1"/>
  <c r="M15" i="6"/>
  <c r="O15" i="6" s="1"/>
  <c r="M16" i="6"/>
  <c r="O16" i="6" s="1"/>
  <c r="N14" i="6"/>
  <c r="N15" i="6"/>
  <c r="N16" i="6"/>
  <c r="N13" i="6"/>
  <c r="M8" i="6"/>
  <c r="N8" i="6" s="1"/>
  <c r="M5" i="6"/>
  <c r="N5" i="6" s="1"/>
  <c r="M6" i="6"/>
  <c r="N6" i="6" s="1"/>
  <c r="M7" i="6"/>
  <c r="N7" i="6" s="1"/>
  <c r="J2" i="5" l="1"/>
  <c r="I2" i="5"/>
  <c r="G91" i="4"/>
  <c r="F91" i="4"/>
  <c r="G298" i="3"/>
  <c r="F298" i="3"/>
  <c r="C1004" i="2"/>
  <c r="B1004" i="2"/>
</calcChain>
</file>

<file path=xl/connections.xml><?xml version="1.0" encoding="utf-8"?>
<connections xmlns="http://schemas.openxmlformats.org/spreadsheetml/2006/main">
  <connection id="1" keepAlive="1" name="Query - Budget_Data" description="Connection to the 'Budget_Data' query in the workbook." type="5" refreshedVersion="6" background="1" saveData="1">
    <dbPr connection="Provider=Microsoft.Mashup.OleDb.1;Data Source=$Workbook$;Location=Budget_Data" command="SELECT * FROM [Budget_Data]"/>
  </connection>
  <connection id="2" keepAlive="1" name="Query - custom_claender" description="Connection to the 'custom_claender' query in the workbook." type="5" refreshedVersion="6" background="1" saveData="1">
    <dbPr connection="Provider=Microsoft.Mashup.OleDb.1;Data Source=$Workbook$;Location=custom_claender" command="SELECT * FROM [custom_claender]"/>
  </connection>
  <connection id="3" keepAlive="1" name="Query - Customer_Data" description="Connection to the 'Customer_Data' query in the workbook." type="5" refreshedVersion="6" background="1" saveData="1">
    <dbPr connection="Provider=Microsoft.Mashup.OleDb.1;Data Source=$Workbook$;Location=Customer_Data;Extended Properties=&quot;&quot;" command="SELECT * FROM [Customer_Data]"/>
  </connection>
  <connection id="4" keepAlive="1" name="Query - Expense_Data" description="Connection to the 'Expense_Data' query in the workbook." type="5" refreshedVersion="6" background="1" saveData="1">
    <dbPr connection="Provider=Microsoft.Mashup.OleDb.1;Data Source=$Workbook$;Location=Expense_Data" command="SELECT * FROM [Expense_Data]"/>
  </connection>
  <connection id="5" keepAlive="1" name="Query - Sales_Data" description="Connection to the 'Sales_Data' query in the workbook." type="5" refreshedVersion="6" background="1" saveData="1">
    <dbPr connection="Provider=Microsoft.Mashup.OleDb.1;Data Source=$Workbook$;Location=Sales_Data" command="SELECT * FROM [Sales_Data]"/>
  </connection>
  <connection id="6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name="WorksheetConnection_sales &amp; finance project.xlsx!Budget_Data" type="102" refreshedVersion="6" minRefreshableVersion="5">
    <extLst>
      <ext xmlns:x15="http://schemas.microsoft.com/office/spreadsheetml/2010/11/main" uri="{DE250136-89BD-433C-8126-D09CA5730AF9}">
        <x15:connection id="Budget_Data">
          <x15:rangePr sourceName="_xlcn.WorksheetConnection_salesfinanceproject.xlsxBudget_Data1"/>
        </x15:connection>
      </ext>
    </extLst>
  </connection>
  <connection id="8" name="WorksheetConnection_sales &amp; finance project.xlsx!custom_claender" type="102" refreshedVersion="6" minRefreshableVersion="5">
    <extLst>
      <ext xmlns:x15="http://schemas.microsoft.com/office/spreadsheetml/2010/11/main" uri="{DE250136-89BD-433C-8126-D09CA5730AF9}">
        <x15:connection id="custom_claender">
          <x15:rangePr sourceName="_xlcn.WorksheetConnection_salesfinanceproject.xlsxcustom_claender1"/>
        </x15:connection>
      </ext>
    </extLst>
  </connection>
  <connection id="9" name="WorksheetConnection_sales &amp; finance project.xlsx!Customer_Data" type="102" refreshedVersion="6" minRefreshableVersion="5">
    <extLst>
      <ext xmlns:x15="http://schemas.microsoft.com/office/spreadsheetml/2010/11/main" uri="{DE250136-89BD-433C-8126-D09CA5730AF9}">
        <x15:connection id="Customer_Data">
          <x15:rangePr sourceName="_xlcn.WorksheetConnection_salesfinanceproject.xlsxCustomer_Data1"/>
        </x15:connection>
      </ext>
    </extLst>
  </connection>
  <connection id="10" name="WorksheetConnection_sales &amp; finance project.xlsx!Expense_Data" type="102" refreshedVersion="6" minRefreshableVersion="5">
    <extLst>
      <ext xmlns:x15="http://schemas.microsoft.com/office/spreadsheetml/2010/11/main" uri="{DE250136-89BD-433C-8126-D09CA5730AF9}">
        <x15:connection id="Expense_Data">
          <x15:rangePr sourceName="_xlcn.WorksheetConnection_salesfinanceproject.xlsxExpense_Data1"/>
        </x15:connection>
      </ext>
    </extLst>
  </connection>
  <connection id="11" name="WorksheetConnection_sales &amp; finance project.xlsx!Region" type="102" refreshedVersion="6" minRefreshableVersion="5">
    <extLst>
      <ext xmlns:x15="http://schemas.microsoft.com/office/spreadsheetml/2010/11/main" uri="{DE250136-89BD-433C-8126-D09CA5730AF9}">
        <x15:connection id="Region">
          <x15:rangePr sourceName="_xlcn.WorksheetConnection_salesfinanceproject.xlsxRegion1"/>
        </x15:connection>
      </ext>
    </extLst>
  </connection>
  <connection id="12" name="WorksheetConnection_sales &amp; finance project.xlsx!Sales_Data" type="102" refreshedVersion="6" minRefreshableVersion="5">
    <extLst>
      <ext xmlns:x15="http://schemas.microsoft.com/office/spreadsheetml/2010/11/main" uri="{DE250136-89BD-433C-8126-D09CA5730AF9}">
        <x15:connection id="Sales_Data" autoDelete="1">
          <x15:rangePr sourceName="_xlcn.WorksheetConnection_salesfinanceproject.xlsxSales_Data1"/>
        </x15:connection>
      </ext>
    </extLst>
  </connection>
</connections>
</file>

<file path=xl/sharedStrings.xml><?xml version="1.0" encoding="utf-8"?>
<sst xmlns="http://schemas.openxmlformats.org/spreadsheetml/2006/main" count="7865" uniqueCount="1510">
  <si>
    <t>Order_ID</t>
  </si>
  <si>
    <t>Date</t>
  </si>
  <si>
    <t>Customer_Name</t>
  </si>
  <si>
    <t>Region</t>
  </si>
  <si>
    <t>Product</t>
  </si>
  <si>
    <t>Category</t>
  </si>
  <si>
    <t>Quantity</t>
  </si>
  <si>
    <t>Unit_Price</t>
  </si>
  <si>
    <t>before_discount_amount</t>
  </si>
  <si>
    <t>discount_amount</t>
  </si>
  <si>
    <t>Discount_%</t>
  </si>
  <si>
    <t>Sales_Amount</t>
  </si>
  <si>
    <t>value_cheking</t>
  </si>
  <si>
    <t>ORD0001</t>
  </si>
  <si>
    <t>Customer_188</t>
  </si>
  <si>
    <t>South</t>
  </si>
  <si>
    <t>Monitor</t>
  </si>
  <si>
    <t>Electronics</t>
  </si>
  <si>
    <t>correct</t>
  </si>
  <si>
    <t>ORD0002</t>
  </si>
  <si>
    <t>Customer_95</t>
  </si>
  <si>
    <t>Notebook</t>
  </si>
  <si>
    <t>Office Supplies</t>
  </si>
  <si>
    <t>ORD0003</t>
  </si>
  <si>
    <t>Customer_38</t>
  </si>
  <si>
    <t>West</t>
  </si>
  <si>
    <t>Mobile</t>
  </si>
  <si>
    <t>ORD0004</t>
  </si>
  <si>
    <t>Customer_107</t>
  </si>
  <si>
    <t>Pen</t>
  </si>
  <si>
    <t>ORD0005</t>
  </si>
  <si>
    <t>Customer_64</t>
  </si>
  <si>
    <t>Laptop</t>
  </si>
  <si>
    <t>ORD0006</t>
  </si>
  <si>
    <t>Customer_63</t>
  </si>
  <si>
    <t>North</t>
  </si>
  <si>
    <t>ORD0007</t>
  </si>
  <si>
    <t>Customer_43</t>
  </si>
  <si>
    <t>East</t>
  </si>
  <si>
    <t>Stapler</t>
  </si>
  <si>
    <t>ORD0008</t>
  </si>
  <si>
    <t>Customer_128</t>
  </si>
  <si>
    <t>ORD0009</t>
  </si>
  <si>
    <t>Customer_179</t>
  </si>
  <si>
    <t>Chair</t>
  </si>
  <si>
    <t>Furniture</t>
  </si>
  <si>
    <t>ORD0010</t>
  </si>
  <si>
    <t>Customer_40</t>
  </si>
  <si>
    <t>Printer</t>
  </si>
  <si>
    <t>ORD0011</t>
  </si>
  <si>
    <t>Customer_13</t>
  </si>
  <si>
    <t>ORD0012</t>
  </si>
  <si>
    <t>Customer_166</t>
  </si>
  <si>
    <t>ORD0013</t>
  </si>
  <si>
    <t>Customer_94</t>
  </si>
  <si>
    <t>ORD0014</t>
  </si>
  <si>
    <t>Customer_198</t>
  </si>
  <si>
    <t>Cabinet</t>
  </si>
  <si>
    <t>ORD0015</t>
  </si>
  <si>
    <t>Customer_20</t>
  </si>
  <si>
    <t>Desk</t>
  </si>
  <si>
    <t>ORD0016</t>
  </si>
  <si>
    <t>Customer_23</t>
  </si>
  <si>
    <t>Expense_Category</t>
  </si>
  <si>
    <t>Amount</t>
  </si>
  <si>
    <t>Logistics</t>
  </si>
  <si>
    <t>Utilities</t>
  </si>
  <si>
    <t>Rent</t>
  </si>
  <si>
    <t>Salary</t>
  </si>
  <si>
    <t>Marketing</t>
  </si>
  <si>
    <t>Month</t>
  </si>
  <si>
    <t>Budget_Revenue</t>
  </si>
  <si>
    <t>Budget_Expense</t>
  </si>
  <si>
    <t>Customer_ID</t>
  </si>
  <si>
    <t>Segment</t>
  </si>
  <si>
    <t>Join_Date</t>
  </si>
  <si>
    <t>City</t>
  </si>
  <si>
    <t>CUST001</t>
  </si>
  <si>
    <t>Customer_1</t>
  </si>
  <si>
    <t>Small Business</t>
  </si>
  <si>
    <t>Hyderabad</t>
  </si>
  <si>
    <t>CUST002</t>
  </si>
  <si>
    <t>Customer_2</t>
  </si>
  <si>
    <t>Mumbai</t>
  </si>
  <si>
    <t>CUST003</t>
  </si>
  <si>
    <t>Customer_3</t>
  </si>
  <si>
    <t>Individual</t>
  </si>
  <si>
    <t>Delhi</t>
  </si>
  <si>
    <t>CUST004</t>
  </si>
  <si>
    <t>Customer_4</t>
  </si>
  <si>
    <t>Corporate</t>
  </si>
  <si>
    <t>Pune</t>
  </si>
  <si>
    <t>CUST005</t>
  </si>
  <si>
    <t>Customer_5</t>
  </si>
  <si>
    <t>CUST006</t>
  </si>
  <si>
    <t>Customer_6</t>
  </si>
  <si>
    <t>CUST007</t>
  </si>
  <si>
    <t>Customer_7</t>
  </si>
  <si>
    <t>CUST008</t>
  </si>
  <si>
    <t>Customer_8</t>
  </si>
  <si>
    <t>CUST009</t>
  </si>
  <si>
    <t>Customer_9</t>
  </si>
  <si>
    <t>CUST010</t>
  </si>
  <si>
    <t>Customer_10</t>
  </si>
  <si>
    <t>CUST011</t>
  </si>
  <si>
    <t>Customer_11</t>
  </si>
  <si>
    <t>CUST012</t>
  </si>
  <si>
    <t>Customer_12</t>
  </si>
  <si>
    <t>CUST013</t>
  </si>
  <si>
    <t>CUST014</t>
  </si>
  <si>
    <t>Customer_14</t>
  </si>
  <si>
    <t>CUST015</t>
  </si>
  <si>
    <t>Customer_15</t>
  </si>
  <si>
    <t>CUST016</t>
  </si>
  <si>
    <t>Customer_16</t>
  </si>
  <si>
    <t>CUST017</t>
  </si>
  <si>
    <t>Customer_17</t>
  </si>
  <si>
    <t>CUST018</t>
  </si>
  <si>
    <t>Customer_18</t>
  </si>
  <si>
    <t>CUST019</t>
  </si>
  <si>
    <t>Customer_19</t>
  </si>
  <si>
    <t>CUST020</t>
  </si>
  <si>
    <t>CUST021</t>
  </si>
  <si>
    <t>Customer_21</t>
  </si>
  <si>
    <t>CUST022</t>
  </si>
  <si>
    <t>Customer_22</t>
  </si>
  <si>
    <t>CUST023</t>
  </si>
  <si>
    <t>CUST024</t>
  </si>
  <si>
    <t>Customer_24</t>
  </si>
  <si>
    <t>CUST025</t>
  </si>
  <si>
    <t>Customer_25</t>
  </si>
  <si>
    <t>CUST026</t>
  </si>
  <si>
    <t>Customer_26</t>
  </si>
  <si>
    <t>CUST027</t>
  </si>
  <si>
    <t>Customer_27</t>
  </si>
  <si>
    <t>CUST028</t>
  </si>
  <si>
    <t>Customer_28</t>
  </si>
  <si>
    <t>CUST029</t>
  </si>
  <si>
    <t>Customer_29</t>
  </si>
  <si>
    <t>CUST030</t>
  </si>
  <si>
    <t>Customer_30</t>
  </si>
  <si>
    <t>CUST031</t>
  </si>
  <si>
    <t>Customer_31</t>
  </si>
  <si>
    <t>CUST032</t>
  </si>
  <si>
    <t>Customer_32</t>
  </si>
  <si>
    <t>CUST033</t>
  </si>
  <si>
    <t>Customer_33</t>
  </si>
  <si>
    <t>CUST034</t>
  </si>
  <si>
    <t>Customer_34</t>
  </si>
  <si>
    <t>CUST035</t>
  </si>
  <si>
    <t>Customer_35</t>
  </si>
  <si>
    <t>CUST036</t>
  </si>
  <si>
    <t>Customer_36</t>
  </si>
  <si>
    <t>CUST037</t>
  </si>
  <si>
    <t>Customer_37</t>
  </si>
  <si>
    <t>CUST038</t>
  </si>
  <si>
    <t>CUST039</t>
  </si>
  <si>
    <t>Customer_39</t>
  </si>
  <si>
    <t>CUST040</t>
  </si>
  <si>
    <t>ORD0017</t>
  </si>
  <si>
    <t>ORD0018</t>
  </si>
  <si>
    <t>Customer_42</t>
  </si>
  <si>
    <t>ORD0019</t>
  </si>
  <si>
    <t>Customer_65</t>
  </si>
  <si>
    <t>ORD0020</t>
  </si>
  <si>
    <t>Customer_135</t>
  </si>
  <si>
    <t>ORD0021</t>
  </si>
  <si>
    <t>ORD0022</t>
  </si>
  <si>
    <t>Customer_147</t>
  </si>
  <si>
    <t>ORD0023</t>
  </si>
  <si>
    <t>Customer_104</t>
  </si>
  <si>
    <t>ORD0024</t>
  </si>
  <si>
    <t>Customer_193</t>
  </si>
  <si>
    <t>ORD0025</t>
  </si>
  <si>
    <t>ORD0026</t>
  </si>
  <si>
    <t>Customer_180</t>
  </si>
  <si>
    <t>ORD0027</t>
  </si>
  <si>
    <t>ORD0028</t>
  </si>
  <si>
    <t>Customer_79</t>
  </si>
  <si>
    <t>ORD0029</t>
  </si>
  <si>
    <t>Customer_184</t>
  </si>
  <si>
    <t>File</t>
  </si>
  <si>
    <t>ORD0030</t>
  </si>
  <si>
    <t>Customer_196</t>
  </si>
  <si>
    <t>ORD0031</t>
  </si>
  <si>
    <t>Customer_150</t>
  </si>
  <si>
    <t>ORD0032</t>
  </si>
  <si>
    <t>ORD0033</t>
  </si>
  <si>
    <t>Customer_155</t>
  </si>
  <si>
    <t>Table</t>
  </si>
  <si>
    <t>ORD0034</t>
  </si>
  <si>
    <t>Customer_91</t>
  </si>
  <si>
    <t>ORD0035</t>
  </si>
  <si>
    <t>Customer_154</t>
  </si>
  <si>
    <t>ORD0036</t>
  </si>
  <si>
    <t>ORD0037</t>
  </si>
  <si>
    <t>Customer_172</t>
  </si>
  <si>
    <t>ORD0038</t>
  </si>
  <si>
    <t>Customer_59</t>
  </si>
  <si>
    <t>ORD0039</t>
  </si>
  <si>
    <t>ORD0040</t>
  </si>
  <si>
    <t>Customer_200</t>
  </si>
  <si>
    <t>ORD0041</t>
  </si>
  <si>
    <t>ORD0042</t>
  </si>
  <si>
    <t>Customer_85</t>
  </si>
  <si>
    <t>ORD0043</t>
  </si>
  <si>
    <t>Customer_88</t>
  </si>
  <si>
    <t>ORD0044</t>
  </si>
  <si>
    <t>Customer_129</t>
  </si>
  <si>
    <t>ORD0045</t>
  </si>
  <si>
    <t>Customer_181</t>
  </si>
  <si>
    <t>ORD0046</t>
  </si>
  <si>
    <t>Customer_70</t>
  </si>
  <si>
    <t>ORD0047</t>
  </si>
  <si>
    <t>Customer_46</t>
  </si>
  <si>
    <t>ORD0048</t>
  </si>
  <si>
    <t>Customer_187</t>
  </si>
  <si>
    <t>ORD0049</t>
  </si>
  <si>
    <t>Customer_92</t>
  </si>
  <si>
    <t>ORD0050</t>
  </si>
  <si>
    <t>ORD0051</t>
  </si>
  <si>
    <t>ORD0052</t>
  </si>
  <si>
    <t>ORD0053</t>
  </si>
  <si>
    <t>Customer_123</t>
  </si>
  <si>
    <t>ORD0054</t>
  </si>
  <si>
    <t>Customer_190</t>
  </si>
  <si>
    <t>ORD0055</t>
  </si>
  <si>
    <t>Customer_61</t>
  </si>
  <si>
    <t>ORD0056</t>
  </si>
  <si>
    <t>Customer_50</t>
  </si>
  <si>
    <t>ORD0057</t>
  </si>
  <si>
    <t>Customer_72</t>
  </si>
  <si>
    <t>ORD0058</t>
  </si>
  <si>
    <t>ORD0059</t>
  </si>
  <si>
    <t>ORD0060</t>
  </si>
  <si>
    <t>Customer_62</t>
  </si>
  <si>
    <t>ORD0061</t>
  </si>
  <si>
    <t>Customer_161</t>
  </si>
  <si>
    <t>ORD0062</t>
  </si>
  <si>
    <t>Customer_183</t>
  </si>
  <si>
    <t>ORD0063</t>
  </si>
  <si>
    <t>Customer_169</t>
  </si>
  <si>
    <t>ORD0064</t>
  </si>
  <si>
    <t>ORD0065</t>
  </si>
  <si>
    <t>Customer_153</t>
  </si>
  <si>
    <t>ORD0066</t>
  </si>
  <si>
    <t>Customer_175</t>
  </si>
  <si>
    <t>ORD0067</t>
  </si>
  <si>
    <t>Customer_152</t>
  </si>
  <si>
    <t>ORD0068</t>
  </si>
  <si>
    <t>ORD0069</t>
  </si>
  <si>
    <t>ORD0070</t>
  </si>
  <si>
    <t>Customer_173</t>
  </si>
  <si>
    <t>ORD0071</t>
  </si>
  <si>
    <t>Customer_117</t>
  </si>
  <si>
    <t>ORD0072</t>
  </si>
  <si>
    <t>ORD0073</t>
  </si>
  <si>
    <t>Customer_145</t>
  </si>
  <si>
    <t>ORD0074</t>
  </si>
  <si>
    <t>Customer_163</t>
  </si>
  <si>
    <t>ORD0075</t>
  </si>
  <si>
    <t>ORD0076</t>
  </si>
  <si>
    <t>Customer_56</t>
  </si>
  <si>
    <t>ORD0077</t>
  </si>
  <si>
    <t>ORD0078</t>
  </si>
  <si>
    <t>ORD0079</t>
  </si>
  <si>
    <t>Customer_106</t>
  </si>
  <si>
    <t>ORD0080</t>
  </si>
  <si>
    <t>ORD0081</t>
  </si>
  <si>
    <t>ORD0082</t>
  </si>
  <si>
    <t>ORD0083</t>
  </si>
  <si>
    <t>Customer_48</t>
  </si>
  <si>
    <t>ORD0084</t>
  </si>
  <si>
    <t>Customer_125</t>
  </si>
  <si>
    <t>ORD0085</t>
  </si>
  <si>
    <t>Customer_140</t>
  </si>
  <si>
    <t>ORD0086</t>
  </si>
  <si>
    <t>Customer_174</t>
  </si>
  <si>
    <t>ORD0087</t>
  </si>
  <si>
    <t>Customer_124</t>
  </si>
  <si>
    <t>ORD0088</t>
  </si>
  <si>
    <t>ORD0089</t>
  </si>
  <si>
    <t>Customer_53</t>
  </si>
  <si>
    <t>ORD0090</t>
  </si>
  <si>
    <t>Customer_137</t>
  </si>
  <si>
    <t>ORD0091</t>
  </si>
  <si>
    <t>ORD0092</t>
  </si>
  <si>
    <t>ORD0093</t>
  </si>
  <si>
    <t>ORD0094</t>
  </si>
  <si>
    <t>ORD0095</t>
  </si>
  <si>
    <t>ORD0096</t>
  </si>
  <si>
    <t>ORD0097</t>
  </si>
  <si>
    <t>Customer_89</t>
  </si>
  <si>
    <t>ORD0098</t>
  </si>
  <si>
    <t>Customer_105</t>
  </si>
  <si>
    <t>ORD0099</t>
  </si>
  <si>
    <t>Customer_177</t>
  </si>
  <si>
    <t>ORD0100</t>
  </si>
  <si>
    <t>ORD0101</t>
  </si>
  <si>
    <t>ORD0102</t>
  </si>
  <si>
    <t>ORD0103</t>
  </si>
  <si>
    <t>ORD0104</t>
  </si>
  <si>
    <t>Customer_52</t>
  </si>
  <si>
    <t>ORD0105</t>
  </si>
  <si>
    <t>ORD0106</t>
  </si>
  <si>
    <t>ORD0107</t>
  </si>
  <si>
    <t>Customer_87</t>
  </si>
  <si>
    <t>ORD0108</t>
  </si>
  <si>
    <t>Customer_44</t>
  </si>
  <si>
    <t>ORD0109</t>
  </si>
  <si>
    <t>ORD0110</t>
  </si>
  <si>
    <t>Customer_158</t>
  </si>
  <si>
    <t>ORD0111</t>
  </si>
  <si>
    <t>ORD0112</t>
  </si>
  <si>
    <t>Customer_78</t>
  </si>
  <si>
    <t>ORD0113</t>
  </si>
  <si>
    <t>ORD0114</t>
  </si>
  <si>
    <t>Customer_151</t>
  </si>
  <si>
    <t>ORD0115</t>
  </si>
  <si>
    <t>ORD0116</t>
  </si>
  <si>
    <t>ORD0117</t>
  </si>
  <si>
    <t>ORD0118</t>
  </si>
  <si>
    <t>ORD0119</t>
  </si>
  <si>
    <t>Customer_199</t>
  </si>
  <si>
    <t>ORD0120</t>
  </si>
  <si>
    <t>ORD0121</t>
  </si>
  <si>
    <t>Customer_60</t>
  </si>
  <si>
    <t>ORD0122</t>
  </si>
  <si>
    <t>Customer_136</t>
  </si>
  <si>
    <t>ORD0123</t>
  </si>
  <si>
    <t>Customer_142</t>
  </si>
  <si>
    <t>ORD0124</t>
  </si>
  <si>
    <t>Customer_57</t>
  </si>
  <si>
    <t>ORD0125</t>
  </si>
  <si>
    <t>Customer_141</t>
  </si>
  <si>
    <t>ORD0126</t>
  </si>
  <si>
    <t>ORD0127</t>
  </si>
  <si>
    <t>ORD0128</t>
  </si>
  <si>
    <t>ORD0129</t>
  </si>
  <si>
    <t>Customer_67</t>
  </si>
  <si>
    <t>ORD0130</t>
  </si>
  <si>
    <t>ORD0131</t>
  </si>
  <si>
    <t>ORD0132</t>
  </si>
  <si>
    <t>ORD0133</t>
  </si>
  <si>
    <t>Customer_113</t>
  </si>
  <si>
    <t>ORD0134</t>
  </si>
  <si>
    <t>ORD0135</t>
  </si>
  <si>
    <t>ORD0136</t>
  </si>
  <si>
    <t>Customer_149</t>
  </si>
  <si>
    <t>ORD0137</t>
  </si>
  <si>
    <t>ORD0138</t>
  </si>
  <si>
    <t>ORD0139</t>
  </si>
  <si>
    <t>Customer_197</t>
  </si>
  <si>
    <t>ORD0140</t>
  </si>
  <si>
    <t>ORD0141</t>
  </si>
  <si>
    <t>ORD0142</t>
  </si>
  <si>
    <t>Customer_108</t>
  </si>
  <si>
    <t>ORD0143</t>
  </si>
  <si>
    <t>ORD0144</t>
  </si>
  <si>
    <t>ORD0145</t>
  </si>
  <si>
    <t>Customer_97</t>
  </si>
  <si>
    <t>ORD0146</t>
  </si>
  <si>
    <t>ORD0147</t>
  </si>
  <si>
    <t>Customer_130</t>
  </si>
  <si>
    <t>ORD0148</t>
  </si>
  <si>
    <t>Customer_41</t>
  </si>
  <si>
    <t>ORD0149</t>
  </si>
  <si>
    <t>Customer_109</t>
  </si>
  <si>
    <t>ORD0150</t>
  </si>
  <si>
    <t>ORD0151</t>
  </si>
  <si>
    <t>Customer_90</t>
  </si>
  <si>
    <t>ORD0152</t>
  </si>
  <si>
    <t>ORD0153</t>
  </si>
  <si>
    <t>ORD0154</t>
  </si>
  <si>
    <t>Customer_144</t>
  </si>
  <si>
    <t>ORD0155</t>
  </si>
  <si>
    <t>ORD0156</t>
  </si>
  <si>
    <t>ORD0157</t>
  </si>
  <si>
    <t>Customer_49</t>
  </si>
  <si>
    <t>ORD0158</t>
  </si>
  <si>
    <t>Customer_134</t>
  </si>
  <si>
    <t>ORD0159</t>
  </si>
  <si>
    <t>Customer_55</t>
  </si>
  <si>
    <t>ORD0160</t>
  </si>
  <si>
    <t>Customer_86</t>
  </si>
  <si>
    <t>ORD0161</t>
  </si>
  <si>
    <t>ORD0162</t>
  </si>
  <si>
    <t>ORD0163</t>
  </si>
  <si>
    <t>Customer_115</t>
  </si>
  <si>
    <t>ORD0164</t>
  </si>
  <si>
    <t>Customer_118</t>
  </si>
  <si>
    <t>ORD0165</t>
  </si>
  <si>
    <t>ORD0166</t>
  </si>
  <si>
    <t>ORD0167</t>
  </si>
  <si>
    <t>Customer_84</t>
  </si>
  <si>
    <t>ORD0168</t>
  </si>
  <si>
    <t>Customer_116</t>
  </si>
  <si>
    <t>ORD0169</t>
  </si>
  <si>
    <t>ORD0170</t>
  </si>
  <si>
    <t>ORD0171</t>
  </si>
  <si>
    <t>Customer_54</t>
  </si>
  <si>
    <t>ORD0172</t>
  </si>
  <si>
    <t>ORD0173</t>
  </si>
  <si>
    <t>ORD0174</t>
  </si>
  <si>
    <t>ORD0175</t>
  </si>
  <si>
    <t>ORD0176</t>
  </si>
  <si>
    <t>ORD0177</t>
  </si>
  <si>
    <t>ORD0178</t>
  </si>
  <si>
    <t>ORD0179</t>
  </si>
  <si>
    <t>Customer_164</t>
  </si>
  <si>
    <t>ORD0180</t>
  </si>
  <si>
    <t>ORD0181</t>
  </si>
  <si>
    <t>ORD0182</t>
  </si>
  <si>
    <t>Customer_100</t>
  </si>
  <si>
    <t>ORD0183</t>
  </si>
  <si>
    <t>ORD0184</t>
  </si>
  <si>
    <t>ORD0185</t>
  </si>
  <si>
    <t>ORD0186</t>
  </si>
  <si>
    <t>ORD0187</t>
  </si>
  <si>
    <t>ORD0188</t>
  </si>
  <si>
    <t>ORD0189</t>
  </si>
  <si>
    <t>ORD0190</t>
  </si>
  <si>
    <t>Customer_168</t>
  </si>
  <si>
    <t>ORD0191</t>
  </si>
  <si>
    <t>ORD0192</t>
  </si>
  <si>
    <t>Customer_131</t>
  </si>
  <si>
    <t>ORD0193</t>
  </si>
  <si>
    <t>Customer_165</t>
  </si>
  <si>
    <t>ORD0194</t>
  </si>
  <si>
    <t>Customer_182</t>
  </si>
  <si>
    <t>ORD0195</t>
  </si>
  <si>
    <t>ORD0196</t>
  </si>
  <si>
    <t>Customer_121</t>
  </si>
  <si>
    <t>ORD0197</t>
  </si>
  <si>
    <t>ORD0198</t>
  </si>
  <si>
    <t>ORD0199</t>
  </si>
  <si>
    <t>ORD0200</t>
  </si>
  <si>
    <t>ORD0201</t>
  </si>
  <si>
    <t>ORD0202</t>
  </si>
  <si>
    <t>ORD0203</t>
  </si>
  <si>
    <t>Customer_194</t>
  </si>
  <si>
    <t>ORD0204</t>
  </si>
  <si>
    <t>ORD0205</t>
  </si>
  <si>
    <t>Customer_81</t>
  </si>
  <si>
    <t>ORD0206</t>
  </si>
  <si>
    <t>Customer_110</t>
  </si>
  <si>
    <t>ORD0207</t>
  </si>
  <si>
    <t>ORD0208</t>
  </si>
  <si>
    <t>ORD0209</t>
  </si>
  <si>
    <t>ORD0210</t>
  </si>
  <si>
    <t>ORD0211</t>
  </si>
  <si>
    <t>ORD0212</t>
  </si>
  <si>
    <t>ORD0213</t>
  </si>
  <si>
    <t>Customer_189</t>
  </si>
  <si>
    <t>ORD0214</t>
  </si>
  <si>
    <t>ORD0215</t>
  </si>
  <si>
    <t>ORD0216</t>
  </si>
  <si>
    <t>ORD0217</t>
  </si>
  <si>
    <t>Customer_156</t>
  </si>
  <si>
    <t>ORD0218</t>
  </si>
  <si>
    <t>Customer_102</t>
  </si>
  <si>
    <t>ORD0219</t>
  </si>
  <si>
    <t>ORD0220</t>
  </si>
  <si>
    <t>Customer_119</t>
  </si>
  <si>
    <t>ORD0221</t>
  </si>
  <si>
    <t>ORD0222</t>
  </si>
  <si>
    <t>ORD0223</t>
  </si>
  <si>
    <t>Customer_75</t>
  </si>
  <si>
    <t>ORD0224</t>
  </si>
  <si>
    <t>ORD0225</t>
  </si>
  <si>
    <t>ORD0226</t>
  </si>
  <si>
    <t>Customer_171</t>
  </si>
  <si>
    <t>ORD0227</t>
  </si>
  <si>
    <t>ORD0228</t>
  </si>
  <si>
    <t>ORD0229</t>
  </si>
  <si>
    <t>ORD0230</t>
  </si>
  <si>
    <t>ORD0231</t>
  </si>
  <si>
    <t>ORD0232</t>
  </si>
  <si>
    <t>ORD0233</t>
  </si>
  <si>
    <t>Customer_143</t>
  </si>
  <si>
    <t>ORD0234</t>
  </si>
  <si>
    <t>ORD0235</t>
  </si>
  <si>
    <t>ORD0236</t>
  </si>
  <si>
    <t>ORD0237</t>
  </si>
  <si>
    <t>ORD0238</t>
  </si>
  <si>
    <t>ORD0239</t>
  </si>
  <si>
    <t>ORD0240</t>
  </si>
  <si>
    <t>Customer_170</t>
  </si>
  <si>
    <t>ORD0241</t>
  </si>
  <si>
    <t>Customer_71</t>
  </si>
  <si>
    <t>ORD0242</t>
  </si>
  <si>
    <t>ORD0243</t>
  </si>
  <si>
    <t>ORD0244</t>
  </si>
  <si>
    <t>Customer_195</t>
  </si>
  <si>
    <t>ORD0245</t>
  </si>
  <si>
    <t>ORD0246</t>
  </si>
  <si>
    <t>ORD0247</t>
  </si>
  <si>
    <t>ORD0248</t>
  </si>
  <si>
    <t>Customer_148</t>
  </si>
  <si>
    <t>ORD0249</t>
  </si>
  <si>
    <t>Customer_45</t>
  </si>
  <si>
    <t>ORD0250</t>
  </si>
  <si>
    <t>ORD0251</t>
  </si>
  <si>
    <t>ORD0252</t>
  </si>
  <si>
    <t>ORD0253</t>
  </si>
  <si>
    <t>ORD0254</t>
  </si>
  <si>
    <t>ORD0255</t>
  </si>
  <si>
    <t>Customer_120</t>
  </si>
  <si>
    <t>ORD0256</t>
  </si>
  <si>
    <t>ORD0257</t>
  </si>
  <si>
    <t>ORD0258</t>
  </si>
  <si>
    <t>Customer_99</t>
  </si>
  <si>
    <t>ORD0259</t>
  </si>
  <si>
    <t>ORD0260</t>
  </si>
  <si>
    <t>ORD0261</t>
  </si>
  <si>
    <t>ORD0262</t>
  </si>
  <si>
    <t>ORD0263</t>
  </si>
  <si>
    <t>ORD0264</t>
  </si>
  <si>
    <t>Customer_96</t>
  </si>
  <si>
    <t>ORD0265</t>
  </si>
  <si>
    <t>ORD0266</t>
  </si>
  <si>
    <t>ORD0267</t>
  </si>
  <si>
    <t>ORD0268</t>
  </si>
  <si>
    <t>ORD0269</t>
  </si>
  <si>
    <t>ORD0270</t>
  </si>
  <si>
    <t>ORD0271</t>
  </si>
  <si>
    <t>ORD0272</t>
  </si>
  <si>
    <t>ORD0273</t>
  </si>
  <si>
    <t>ORD0274</t>
  </si>
  <si>
    <t>ORD0275</t>
  </si>
  <si>
    <t>ORD0276</t>
  </si>
  <si>
    <t>ORD0277</t>
  </si>
  <si>
    <t>ORD0278</t>
  </si>
  <si>
    <t>ORD0279</t>
  </si>
  <si>
    <t>ORD0280</t>
  </si>
  <si>
    <t>ORD0281</t>
  </si>
  <si>
    <t>ORD0282</t>
  </si>
  <si>
    <t>ORD0283</t>
  </si>
  <si>
    <t>ORD0284</t>
  </si>
  <si>
    <t>ORD0285</t>
  </si>
  <si>
    <t>ORD0286</t>
  </si>
  <si>
    <t>ORD0287</t>
  </si>
  <si>
    <t>ORD0288</t>
  </si>
  <si>
    <t>ORD0289</t>
  </si>
  <si>
    <t>Customer_66</t>
  </si>
  <si>
    <t>ORD0290</t>
  </si>
  <si>
    <t>ORD0291</t>
  </si>
  <si>
    <t>ORD0292</t>
  </si>
  <si>
    <t>ORD0293</t>
  </si>
  <si>
    <t>Customer_69</t>
  </si>
  <si>
    <t>ORD0294</t>
  </si>
  <si>
    <t>ORD0295</t>
  </si>
  <si>
    <t>Customer_47</t>
  </si>
  <si>
    <t>ORD0296</t>
  </si>
  <si>
    <t>ORD0297</t>
  </si>
  <si>
    <t>Customer_186</t>
  </si>
  <si>
    <t>ORD0298</t>
  </si>
  <si>
    <t>ORD0299</t>
  </si>
  <si>
    <t>ORD0300</t>
  </si>
  <si>
    <t>ORD0301</t>
  </si>
  <si>
    <t>ORD0302</t>
  </si>
  <si>
    <t>ORD0303</t>
  </si>
  <si>
    <t>ORD0304</t>
  </si>
  <si>
    <t>ORD0305</t>
  </si>
  <si>
    <t>Customer_138</t>
  </si>
  <si>
    <t>ORD0306</t>
  </si>
  <si>
    <t>ORD0307</t>
  </si>
  <si>
    <t>ORD0308</t>
  </si>
  <si>
    <t>ORD0309</t>
  </si>
  <si>
    <t>ORD0310</t>
  </si>
  <si>
    <t>Customer_73</t>
  </si>
  <si>
    <t>ORD0311</t>
  </si>
  <si>
    <t>Customer_101</t>
  </si>
  <si>
    <t>ORD0312</t>
  </si>
  <si>
    <t>ORD0313</t>
  </si>
  <si>
    <t>ORD0314</t>
  </si>
  <si>
    <t>Customer_146</t>
  </si>
  <si>
    <t>ORD0315</t>
  </si>
  <si>
    <t>Customer_159</t>
  </si>
  <si>
    <t>ORD0316</t>
  </si>
  <si>
    <t>ORD0317</t>
  </si>
  <si>
    <t>ORD0318</t>
  </si>
  <si>
    <t>Customer_98</t>
  </si>
  <si>
    <t>ORD0319</t>
  </si>
  <si>
    <t>ORD0320</t>
  </si>
  <si>
    <t>ORD0321</t>
  </si>
  <si>
    <t>ORD0322</t>
  </si>
  <si>
    <t>ORD0323</t>
  </si>
  <si>
    <t>ORD0324</t>
  </si>
  <si>
    <t>ORD0325</t>
  </si>
  <si>
    <t>ORD0326</t>
  </si>
  <si>
    <t>ORD0327</t>
  </si>
  <si>
    <t>ORD0328</t>
  </si>
  <si>
    <t>ORD0329</t>
  </si>
  <si>
    <t>ORD0330</t>
  </si>
  <si>
    <t>ORD0331</t>
  </si>
  <si>
    <t>ORD0332</t>
  </si>
  <si>
    <t>Customer_132</t>
  </si>
  <si>
    <t>ORD0333</t>
  </si>
  <si>
    <t>ORD0334</t>
  </si>
  <si>
    <t>ORD0335</t>
  </si>
  <si>
    <t>ORD0336</t>
  </si>
  <si>
    <t>ORD0337</t>
  </si>
  <si>
    <t>ORD0338</t>
  </si>
  <si>
    <t>ORD0339</t>
  </si>
  <si>
    <t>Customer_83</t>
  </si>
  <si>
    <t>ORD0340</t>
  </si>
  <si>
    <t>ORD0341</t>
  </si>
  <si>
    <t>Customer_58</t>
  </si>
  <si>
    <t>ORD0342</t>
  </si>
  <si>
    <t>ORD0343</t>
  </si>
  <si>
    <t>Customer_68</t>
  </si>
  <si>
    <t>ORD0344</t>
  </si>
  <si>
    <t>ORD0345</t>
  </si>
  <si>
    <t>ORD0346</t>
  </si>
  <si>
    <t>ORD0347</t>
  </si>
  <si>
    <t>ORD0348</t>
  </si>
  <si>
    <t>Customer_111</t>
  </si>
  <si>
    <t>ORD0349</t>
  </si>
  <si>
    <t>ORD0350</t>
  </si>
  <si>
    <t>ORD0351</t>
  </si>
  <si>
    <t>ORD0352</t>
  </si>
  <si>
    <t>ORD0353</t>
  </si>
  <si>
    <t>ORD0354</t>
  </si>
  <si>
    <t>Customer_127</t>
  </si>
  <si>
    <t>ORD0355</t>
  </si>
  <si>
    <t>ORD0356</t>
  </si>
  <si>
    <t>ORD0357</t>
  </si>
  <si>
    <t>ORD0358</t>
  </si>
  <si>
    <t>ORD0359</t>
  </si>
  <si>
    <t>Customer_122</t>
  </si>
  <si>
    <t>ORD0360</t>
  </si>
  <si>
    <t>ORD0361</t>
  </si>
  <si>
    <t>ORD0362</t>
  </si>
  <si>
    <t>ORD0363</t>
  </si>
  <si>
    <t>ORD0364</t>
  </si>
  <si>
    <t>ORD0365</t>
  </si>
  <si>
    <t>ORD0366</t>
  </si>
  <si>
    <t>Customer_77</t>
  </si>
  <si>
    <t>ORD0367</t>
  </si>
  <si>
    <t>ORD0368</t>
  </si>
  <si>
    <t>ORD0369</t>
  </si>
  <si>
    <t>Customer_167</t>
  </si>
  <si>
    <t>ORD0370</t>
  </si>
  <si>
    <t>ORD0371</t>
  </si>
  <si>
    <t>ORD0372</t>
  </si>
  <si>
    <t>ORD0373</t>
  </si>
  <si>
    <t>ORD0374</t>
  </si>
  <si>
    <t>ORD0375</t>
  </si>
  <si>
    <t>ORD0376</t>
  </si>
  <si>
    <t>ORD0377</t>
  </si>
  <si>
    <t>ORD0378</t>
  </si>
  <si>
    <t>ORD0379</t>
  </si>
  <si>
    <t>Customer_133</t>
  </si>
  <si>
    <t>ORD0380</t>
  </si>
  <si>
    <t>ORD0381</t>
  </si>
  <si>
    <t>ORD0382</t>
  </si>
  <si>
    <t>ORD0383</t>
  </si>
  <si>
    <t>Customer_178</t>
  </si>
  <si>
    <t>ORD0384</t>
  </si>
  <si>
    <t>ORD0385</t>
  </si>
  <si>
    <t>ORD0386</t>
  </si>
  <si>
    <t>Customer_185</t>
  </si>
  <si>
    <t>ORD0387</t>
  </si>
  <si>
    <t>ORD0388</t>
  </si>
  <si>
    <t>ORD0389</t>
  </si>
  <si>
    <t>ORD0390</t>
  </si>
  <si>
    <t>ORD0391</t>
  </si>
  <si>
    <t>ORD0392</t>
  </si>
  <si>
    <t>ORD0393</t>
  </si>
  <si>
    <t>ORD0394</t>
  </si>
  <si>
    <t>ORD0395</t>
  </si>
  <si>
    <t>ORD0396</t>
  </si>
  <si>
    <t>ORD0397</t>
  </si>
  <si>
    <t>ORD0398</t>
  </si>
  <si>
    <t>ORD0399</t>
  </si>
  <si>
    <t>ORD0400</t>
  </si>
  <si>
    <t>ORD0401</t>
  </si>
  <si>
    <t>ORD0402</t>
  </si>
  <si>
    <t>ORD0403</t>
  </si>
  <si>
    <t>ORD0404</t>
  </si>
  <si>
    <t>ORD0405</t>
  </si>
  <si>
    <t>ORD0406</t>
  </si>
  <si>
    <t>ORD0407</t>
  </si>
  <si>
    <t>ORD0408</t>
  </si>
  <si>
    <t>ORD0409</t>
  </si>
  <si>
    <t>ORD0410</t>
  </si>
  <si>
    <t>ORD0411</t>
  </si>
  <si>
    <t>ORD0412</t>
  </si>
  <si>
    <t>ORD0413</t>
  </si>
  <si>
    <t>ORD0414</t>
  </si>
  <si>
    <t>ORD0415</t>
  </si>
  <si>
    <t>ORD0416</t>
  </si>
  <si>
    <t>ORD0417</t>
  </si>
  <si>
    <t>Customer_103</t>
  </si>
  <si>
    <t>ORD0418</t>
  </si>
  <si>
    <t>Customer_160</t>
  </si>
  <si>
    <t>ORD0419</t>
  </si>
  <si>
    <t>ORD0420</t>
  </si>
  <si>
    <t>ORD0421</t>
  </si>
  <si>
    <t>ORD0422</t>
  </si>
  <si>
    <t>ORD0423</t>
  </si>
  <si>
    <t>ORD0424</t>
  </si>
  <si>
    <t>ORD0425</t>
  </si>
  <si>
    <t>ORD0426</t>
  </si>
  <si>
    <t>ORD0427</t>
  </si>
  <si>
    <t>ORD0428</t>
  </si>
  <si>
    <t>ORD0429</t>
  </si>
  <si>
    <t>ORD0430</t>
  </si>
  <si>
    <t>ORD0431</t>
  </si>
  <si>
    <t>ORD0432</t>
  </si>
  <si>
    <t>ORD0433</t>
  </si>
  <si>
    <t>ORD0434</t>
  </si>
  <si>
    <t>ORD0435</t>
  </si>
  <si>
    <t>ORD0436</t>
  </si>
  <si>
    <t>ORD0437</t>
  </si>
  <si>
    <t>ORD0438</t>
  </si>
  <si>
    <t>ORD0439</t>
  </si>
  <si>
    <t>ORD0440</t>
  </si>
  <si>
    <t>Customer_191</t>
  </si>
  <si>
    <t>ORD0441</t>
  </si>
  <si>
    <t>ORD0442</t>
  </si>
  <si>
    <t>ORD0443</t>
  </si>
  <si>
    <t>ORD0444</t>
  </si>
  <si>
    <t>ORD0445</t>
  </si>
  <si>
    <t>ORD0446</t>
  </si>
  <si>
    <t>ORD0447</t>
  </si>
  <si>
    <t>ORD0448</t>
  </si>
  <si>
    <t>ORD0449</t>
  </si>
  <si>
    <t>ORD0450</t>
  </si>
  <si>
    <t>ORD0451</t>
  </si>
  <si>
    <t>ORD0452</t>
  </si>
  <si>
    <t>Customer_93</t>
  </si>
  <si>
    <t>ORD0453</t>
  </si>
  <si>
    <t>ORD0454</t>
  </si>
  <si>
    <t>ORD0455</t>
  </si>
  <si>
    <t>ORD0456</t>
  </si>
  <si>
    <t>ORD0457</t>
  </si>
  <si>
    <t>ORD0458</t>
  </si>
  <si>
    <t>ORD0459</t>
  </si>
  <si>
    <t>ORD0460</t>
  </si>
  <si>
    <t>ORD0461</t>
  </si>
  <si>
    <t>ORD0462</t>
  </si>
  <si>
    <t>ORD0463</t>
  </si>
  <si>
    <t>ORD0464</t>
  </si>
  <si>
    <t>ORD0465</t>
  </si>
  <si>
    <t>ORD0466</t>
  </si>
  <si>
    <t>Customer_176</t>
  </si>
  <si>
    <t>ORD0467</t>
  </si>
  <si>
    <t>ORD0468</t>
  </si>
  <si>
    <t>ORD0469</t>
  </si>
  <si>
    <t>ORD0470</t>
  </si>
  <si>
    <t>ORD0471</t>
  </si>
  <si>
    <t>ORD0472</t>
  </si>
  <si>
    <t>ORD0473</t>
  </si>
  <si>
    <t>ORD0474</t>
  </si>
  <si>
    <t>ORD0475</t>
  </si>
  <si>
    <t>ORD0476</t>
  </si>
  <si>
    <t>ORD0477</t>
  </si>
  <si>
    <t>ORD0478</t>
  </si>
  <si>
    <t>ORD0479</t>
  </si>
  <si>
    <t>ORD0480</t>
  </si>
  <si>
    <t>ORD0481</t>
  </si>
  <si>
    <t>ORD0482</t>
  </si>
  <si>
    <t>ORD0483</t>
  </si>
  <si>
    <t>ORD0484</t>
  </si>
  <si>
    <t>ORD0485</t>
  </si>
  <si>
    <t>ORD0486</t>
  </si>
  <si>
    <t>ORD0487</t>
  </si>
  <si>
    <t>ORD0488</t>
  </si>
  <si>
    <t>ORD0489</t>
  </si>
  <si>
    <t>ORD0490</t>
  </si>
  <si>
    <t>ORD0491</t>
  </si>
  <si>
    <t>ORD0492</t>
  </si>
  <si>
    <t>ORD0493</t>
  </si>
  <si>
    <t>ORD0494</t>
  </si>
  <si>
    <t>ORD0495</t>
  </si>
  <si>
    <t>ORD0496</t>
  </si>
  <si>
    <t>ORD0497</t>
  </si>
  <si>
    <t>ORD0498</t>
  </si>
  <si>
    <t>ORD0499</t>
  </si>
  <si>
    <t>ORD0500</t>
  </si>
  <si>
    <t>ORD0501</t>
  </si>
  <si>
    <t>ORD0502</t>
  </si>
  <si>
    <t>ORD0503</t>
  </si>
  <si>
    <t>ORD0504</t>
  </si>
  <si>
    <t>ORD0505</t>
  </si>
  <si>
    <t>ORD0506</t>
  </si>
  <si>
    <t>ORD0507</t>
  </si>
  <si>
    <t>ORD0508</t>
  </si>
  <si>
    <t>ORD0509</t>
  </si>
  <si>
    <t>ORD0510</t>
  </si>
  <si>
    <t>ORD0511</t>
  </si>
  <si>
    <t>ORD0512</t>
  </si>
  <si>
    <t>Customer_76</t>
  </si>
  <si>
    <t>ORD0513</t>
  </si>
  <si>
    <t>ORD0514</t>
  </si>
  <si>
    <t>ORD0515</t>
  </si>
  <si>
    <t>ORD0516</t>
  </si>
  <si>
    <t>ORD0517</t>
  </si>
  <si>
    <t>ORD0518</t>
  </si>
  <si>
    <t>ORD0519</t>
  </si>
  <si>
    <t>ORD0520</t>
  </si>
  <si>
    <t>ORD0521</t>
  </si>
  <si>
    <t>ORD0522</t>
  </si>
  <si>
    <t>ORD0523</t>
  </si>
  <si>
    <t>ORD0524</t>
  </si>
  <si>
    <t>ORD0525</t>
  </si>
  <si>
    <t>ORD0526</t>
  </si>
  <si>
    <t>ORD0527</t>
  </si>
  <si>
    <t>ORD0528</t>
  </si>
  <si>
    <t>ORD0529</t>
  </si>
  <si>
    <t>Customer_162</t>
  </si>
  <si>
    <t>ORD0530</t>
  </si>
  <si>
    <t>Customer_126</t>
  </si>
  <si>
    <t>ORD0531</t>
  </si>
  <si>
    <t>ORD0532</t>
  </si>
  <si>
    <t>ORD0533</t>
  </si>
  <si>
    <t>ORD0534</t>
  </si>
  <si>
    <t>Customer_51</t>
  </si>
  <si>
    <t>ORD0535</t>
  </si>
  <si>
    <t>ORD0536</t>
  </si>
  <si>
    <t>ORD0537</t>
  </si>
  <si>
    <t>ORD0538</t>
  </si>
  <si>
    <t>ORD0539</t>
  </si>
  <si>
    <t>ORD0540</t>
  </si>
  <si>
    <t>ORD0541</t>
  </si>
  <si>
    <t>ORD0542</t>
  </si>
  <si>
    <t>ORD0543</t>
  </si>
  <si>
    <t>ORD0544</t>
  </si>
  <si>
    <t>Customer_74</t>
  </si>
  <si>
    <t>ORD0545</t>
  </si>
  <si>
    <t>ORD0546</t>
  </si>
  <si>
    <t>ORD0547</t>
  </si>
  <si>
    <t>Customer_192</t>
  </si>
  <si>
    <t>ORD0548</t>
  </si>
  <si>
    <t>ORD0549</t>
  </si>
  <si>
    <t>ORD0550</t>
  </si>
  <si>
    <t>ORD0551</t>
  </si>
  <si>
    <t>ORD0552</t>
  </si>
  <si>
    <t>ORD0553</t>
  </si>
  <si>
    <t>ORD0554</t>
  </si>
  <si>
    <t>ORD0555</t>
  </si>
  <si>
    <t>ORD0556</t>
  </si>
  <si>
    <t>ORD0557</t>
  </si>
  <si>
    <t>ORD0558</t>
  </si>
  <si>
    <t>ORD0559</t>
  </si>
  <si>
    <t>Customer_139</t>
  </si>
  <si>
    <t>ORD0560</t>
  </si>
  <si>
    <t>Customer_114</t>
  </si>
  <si>
    <t>ORD0561</t>
  </si>
  <si>
    <t>ORD0562</t>
  </si>
  <si>
    <t>ORD0563</t>
  </si>
  <si>
    <t>ORD0564</t>
  </si>
  <si>
    <t>ORD0565</t>
  </si>
  <si>
    <t>ORD0566</t>
  </si>
  <si>
    <t>ORD0567</t>
  </si>
  <si>
    <t>ORD0568</t>
  </si>
  <si>
    <t>ORD0569</t>
  </si>
  <si>
    <t>ORD0570</t>
  </si>
  <si>
    <t>ORD0571</t>
  </si>
  <si>
    <t>ORD0572</t>
  </si>
  <si>
    <t>ORD0573</t>
  </si>
  <si>
    <t>ORD0574</t>
  </si>
  <si>
    <t>ORD0575</t>
  </si>
  <si>
    <t>ORD0576</t>
  </si>
  <si>
    <t>ORD0577</t>
  </si>
  <si>
    <t>ORD0578</t>
  </si>
  <si>
    <t>ORD0579</t>
  </si>
  <si>
    <t>ORD0580</t>
  </si>
  <si>
    <t>ORD0581</t>
  </si>
  <si>
    <t>ORD0582</t>
  </si>
  <si>
    <t>ORD0583</t>
  </si>
  <si>
    <t>Customer_82</t>
  </si>
  <si>
    <t>ORD0584</t>
  </si>
  <si>
    <t>ORD0585</t>
  </si>
  <si>
    <t>ORD0586</t>
  </si>
  <si>
    <t>ORD0587</t>
  </si>
  <si>
    <t>ORD0588</t>
  </si>
  <si>
    <t>ORD0589</t>
  </si>
  <si>
    <t>ORD0590</t>
  </si>
  <si>
    <t>ORD0591</t>
  </si>
  <si>
    <t>ORD0592</t>
  </si>
  <si>
    <t>ORD0593</t>
  </si>
  <si>
    <t>ORD0594</t>
  </si>
  <si>
    <t>ORD0595</t>
  </si>
  <si>
    <t>ORD0596</t>
  </si>
  <si>
    <t>ORD0597</t>
  </si>
  <si>
    <t>ORD0598</t>
  </si>
  <si>
    <t>ORD0599</t>
  </si>
  <si>
    <t>ORD0600</t>
  </si>
  <si>
    <t>ORD0601</t>
  </si>
  <si>
    <t>ORD0602</t>
  </si>
  <si>
    <t>ORD0603</t>
  </si>
  <si>
    <t>ORD0604</t>
  </si>
  <si>
    <t>ORD0605</t>
  </si>
  <si>
    <t>ORD0606</t>
  </si>
  <si>
    <t>ORD0607</t>
  </si>
  <si>
    <t>ORD0608</t>
  </si>
  <si>
    <t>ORD0609</t>
  </si>
  <si>
    <t>ORD0610</t>
  </si>
  <si>
    <t>ORD0611</t>
  </si>
  <si>
    <t>ORD0612</t>
  </si>
  <si>
    <t>ORD0613</t>
  </si>
  <si>
    <t>ORD0614</t>
  </si>
  <si>
    <t>ORD0615</t>
  </si>
  <si>
    <t>ORD0616</t>
  </si>
  <si>
    <t>ORD0617</t>
  </si>
  <si>
    <t>ORD0618</t>
  </si>
  <si>
    <t>ORD0619</t>
  </si>
  <si>
    <t>ORD0620</t>
  </si>
  <si>
    <t>ORD0621</t>
  </si>
  <si>
    <t>ORD0622</t>
  </si>
  <si>
    <t>ORD0623</t>
  </si>
  <si>
    <t>ORD0624</t>
  </si>
  <si>
    <t>ORD0625</t>
  </si>
  <si>
    <t>ORD0626</t>
  </si>
  <si>
    <t>ORD0627</t>
  </si>
  <si>
    <t>ORD0628</t>
  </si>
  <si>
    <t>ORD0629</t>
  </si>
  <si>
    <t>ORD0630</t>
  </si>
  <si>
    <t>ORD0631</t>
  </si>
  <si>
    <t>ORD0632</t>
  </si>
  <si>
    <t>ORD0633</t>
  </si>
  <si>
    <t>ORD0634</t>
  </si>
  <si>
    <t>ORD0635</t>
  </si>
  <si>
    <t>ORD0636</t>
  </si>
  <si>
    <t>ORD0637</t>
  </si>
  <si>
    <t>ORD0638</t>
  </si>
  <si>
    <t>ORD0639</t>
  </si>
  <si>
    <t>ORD0640</t>
  </si>
  <si>
    <t>ORD0641</t>
  </si>
  <si>
    <t>ORD0642</t>
  </si>
  <si>
    <t>ORD0643</t>
  </si>
  <si>
    <t>ORD0644</t>
  </si>
  <si>
    <t>ORD0645</t>
  </si>
  <si>
    <t>ORD0646</t>
  </si>
  <si>
    <t>ORD0647</t>
  </si>
  <si>
    <t>ORD0648</t>
  </si>
  <si>
    <t>ORD0649</t>
  </si>
  <si>
    <t>ORD0650</t>
  </si>
  <si>
    <t>ORD0651</t>
  </si>
  <si>
    <t>ORD0652</t>
  </si>
  <si>
    <t>ORD0653</t>
  </si>
  <si>
    <t>ORD0654</t>
  </si>
  <si>
    <t>ORD0655</t>
  </si>
  <si>
    <t>ORD0656</t>
  </si>
  <si>
    <t>ORD0657</t>
  </si>
  <si>
    <t>ORD0658</t>
  </si>
  <si>
    <t>ORD0659</t>
  </si>
  <si>
    <t>ORD0660</t>
  </si>
  <si>
    <t>ORD0661</t>
  </si>
  <si>
    <t>ORD0662</t>
  </si>
  <si>
    <t>ORD0663</t>
  </si>
  <si>
    <t>ORD0664</t>
  </si>
  <si>
    <t>ORD0665</t>
  </si>
  <si>
    <t>ORD0666</t>
  </si>
  <si>
    <t>ORD0667</t>
  </si>
  <si>
    <t>ORD0668</t>
  </si>
  <si>
    <t>ORD0669</t>
  </si>
  <si>
    <t>ORD0670</t>
  </si>
  <si>
    <t>ORD0671</t>
  </si>
  <si>
    <t>ORD0672</t>
  </si>
  <si>
    <t>ORD0673</t>
  </si>
  <si>
    <t>ORD0674</t>
  </si>
  <si>
    <t>ORD0675</t>
  </si>
  <si>
    <t>ORD0676</t>
  </si>
  <si>
    <t>ORD0677</t>
  </si>
  <si>
    <t>Customer_157</t>
  </si>
  <si>
    <t>ORD0678</t>
  </si>
  <si>
    <t>ORD0679</t>
  </si>
  <si>
    <t>ORD0680</t>
  </si>
  <si>
    <t>ORD0681</t>
  </si>
  <si>
    <t>ORD0682</t>
  </si>
  <si>
    <t>ORD0683</t>
  </si>
  <si>
    <t>ORD0684</t>
  </si>
  <si>
    <t>ORD0685</t>
  </si>
  <si>
    <t>ORD0686</t>
  </si>
  <si>
    <t>ORD0687</t>
  </si>
  <si>
    <t>ORD0688</t>
  </si>
  <si>
    <t>ORD0689</t>
  </si>
  <si>
    <t>ORD0690</t>
  </si>
  <si>
    <t>ORD0691</t>
  </si>
  <si>
    <t>ORD0692</t>
  </si>
  <si>
    <t>ORD0693</t>
  </si>
  <si>
    <t>ORD0694</t>
  </si>
  <si>
    <t>ORD0695</t>
  </si>
  <si>
    <t>ORD0696</t>
  </si>
  <si>
    <t>ORD0697</t>
  </si>
  <si>
    <t>ORD0698</t>
  </si>
  <si>
    <t>ORD0699</t>
  </si>
  <si>
    <t>ORD0700</t>
  </si>
  <si>
    <t>ORD0701</t>
  </si>
  <si>
    <t>ORD0702</t>
  </si>
  <si>
    <t>ORD0703</t>
  </si>
  <si>
    <t>ORD0704</t>
  </si>
  <si>
    <t>ORD0705</t>
  </si>
  <si>
    <t>ORD0706</t>
  </si>
  <si>
    <t>ORD0707</t>
  </si>
  <si>
    <t>ORD0708</t>
  </si>
  <si>
    <t>ORD0709</t>
  </si>
  <si>
    <t>ORD0710</t>
  </si>
  <si>
    <t>ORD0711</t>
  </si>
  <si>
    <t>ORD0712</t>
  </si>
  <si>
    <t>ORD0713</t>
  </si>
  <si>
    <t>ORD0714</t>
  </si>
  <si>
    <t>ORD0715</t>
  </si>
  <si>
    <t>ORD0716</t>
  </si>
  <si>
    <t>ORD0717</t>
  </si>
  <si>
    <t>ORD0718</t>
  </si>
  <si>
    <t>ORD0719</t>
  </si>
  <si>
    <t>ORD0720</t>
  </si>
  <si>
    <t>ORD0721</t>
  </si>
  <si>
    <t>ORD0722</t>
  </si>
  <si>
    <t>ORD0723</t>
  </si>
  <si>
    <t>ORD0724</t>
  </si>
  <si>
    <t>ORD0725</t>
  </si>
  <si>
    <t>ORD0726</t>
  </si>
  <si>
    <t>ORD0727</t>
  </si>
  <si>
    <t>ORD0728</t>
  </si>
  <si>
    <t>ORD0729</t>
  </si>
  <si>
    <t>ORD0730</t>
  </si>
  <si>
    <t>ORD0731</t>
  </si>
  <si>
    <t>ORD0732</t>
  </si>
  <si>
    <t>ORD0733</t>
  </si>
  <si>
    <t>ORD0734</t>
  </si>
  <si>
    <t>ORD0735</t>
  </si>
  <si>
    <t>ORD0736</t>
  </si>
  <si>
    <t>ORD0737</t>
  </si>
  <si>
    <t>ORD0738</t>
  </si>
  <si>
    <t>ORD0739</t>
  </si>
  <si>
    <t>ORD0740</t>
  </si>
  <si>
    <t>ORD0741</t>
  </si>
  <si>
    <t>ORD0742</t>
  </si>
  <si>
    <t>ORD0743</t>
  </si>
  <si>
    <t>ORD0744</t>
  </si>
  <si>
    <t>ORD0745</t>
  </si>
  <si>
    <t>ORD0746</t>
  </si>
  <si>
    <t>ORD0747</t>
  </si>
  <si>
    <t>ORD0748</t>
  </si>
  <si>
    <t>ORD0749</t>
  </si>
  <si>
    <t>ORD0750</t>
  </si>
  <si>
    <t>ORD0751</t>
  </si>
  <si>
    <t>ORD0752</t>
  </si>
  <si>
    <t>ORD0753</t>
  </si>
  <si>
    <t>ORD0754</t>
  </si>
  <si>
    <t>ORD0755</t>
  </si>
  <si>
    <t>ORD0756</t>
  </si>
  <si>
    <t>ORD0757</t>
  </si>
  <si>
    <t>ORD0758</t>
  </si>
  <si>
    <t>ORD0759</t>
  </si>
  <si>
    <t>ORD0760</t>
  </si>
  <si>
    <t>ORD0761</t>
  </si>
  <si>
    <t>ORD0762</t>
  </si>
  <si>
    <t>ORD0763</t>
  </si>
  <si>
    <t>ORD0764</t>
  </si>
  <si>
    <t>ORD0765</t>
  </si>
  <si>
    <t>ORD0766</t>
  </si>
  <si>
    <t>ORD0767</t>
  </si>
  <si>
    <t>ORD0768</t>
  </si>
  <si>
    <t>ORD0769</t>
  </si>
  <si>
    <t>ORD0770</t>
  </si>
  <si>
    <t>ORD0771</t>
  </si>
  <si>
    <t>ORD0772</t>
  </si>
  <si>
    <t>ORD0773</t>
  </si>
  <si>
    <t>ORD0774</t>
  </si>
  <si>
    <t>ORD0775</t>
  </si>
  <si>
    <t>ORD0776</t>
  </si>
  <si>
    <t>ORD0777</t>
  </si>
  <si>
    <t>ORD0778</t>
  </si>
  <si>
    <t>ORD0779</t>
  </si>
  <si>
    <t>ORD0780</t>
  </si>
  <si>
    <t>ORD0781</t>
  </si>
  <si>
    <t>ORD0782</t>
  </si>
  <si>
    <t>ORD0783</t>
  </si>
  <si>
    <t>ORD0784</t>
  </si>
  <si>
    <t>ORD0785</t>
  </si>
  <si>
    <t>ORD0786</t>
  </si>
  <si>
    <t>ORD0787</t>
  </si>
  <si>
    <t>ORD0788</t>
  </si>
  <si>
    <t>ORD0789</t>
  </si>
  <si>
    <t>ORD0790</t>
  </si>
  <si>
    <t>ORD0791</t>
  </si>
  <si>
    <t>ORD0792</t>
  </si>
  <si>
    <t>ORD0793</t>
  </si>
  <si>
    <t>ORD0794</t>
  </si>
  <si>
    <t>ORD0795</t>
  </si>
  <si>
    <t>ORD0796</t>
  </si>
  <si>
    <t>ORD0797</t>
  </si>
  <si>
    <t>ORD0798</t>
  </si>
  <si>
    <t>ORD0799</t>
  </si>
  <si>
    <t>ORD0800</t>
  </si>
  <si>
    <t>ORD0801</t>
  </si>
  <si>
    <t>ORD0802</t>
  </si>
  <si>
    <t>ORD0803</t>
  </si>
  <si>
    <t>ORD0804</t>
  </si>
  <si>
    <t>ORD0805</t>
  </si>
  <si>
    <t>ORD0806</t>
  </si>
  <si>
    <t>ORD0807</t>
  </si>
  <si>
    <t>ORD0808</t>
  </si>
  <si>
    <t>ORD0809</t>
  </si>
  <si>
    <t>ORD0810</t>
  </si>
  <si>
    <t>ORD0811</t>
  </si>
  <si>
    <t>ORD0812</t>
  </si>
  <si>
    <t>ORD0813</t>
  </si>
  <si>
    <t>ORD0814</t>
  </si>
  <si>
    <t>ORD0815</t>
  </si>
  <si>
    <t>ORD0816</t>
  </si>
  <si>
    <t>ORD0817</t>
  </si>
  <si>
    <t>ORD0818</t>
  </si>
  <si>
    <t>ORD0819</t>
  </si>
  <si>
    <t>ORD0820</t>
  </si>
  <si>
    <t>ORD0821</t>
  </si>
  <si>
    <t>ORD0822</t>
  </si>
  <si>
    <t>ORD0823</t>
  </si>
  <si>
    <t>ORD0824</t>
  </si>
  <si>
    <t>ORD0825</t>
  </si>
  <si>
    <t>ORD0826</t>
  </si>
  <si>
    <t>ORD0827</t>
  </si>
  <si>
    <t>ORD0828</t>
  </si>
  <si>
    <t>ORD0829</t>
  </si>
  <si>
    <t>ORD0830</t>
  </si>
  <si>
    <t>ORD0831</t>
  </si>
  <si>
    <t>ORD0832</t>
  </si>
  <si>
    <t>ORD0833</t>
  </si>
  <si>
    <t>ORD0834</t>
  </si>
  <si>
    <t>ORD0835</t>
  </si>
  <si>
    <t>ORD0836</t>
  </si>
  <si>
    <t>ORD0837</t>
  </si>
  <si>
    <t>ORD0838</t>
  </si>
  <si>
    <t>ORD0839</t>
  </si>
  <si>
    <t>ORD0840</t>
  </si>
  <si>
    <t>ORD0841</t>
  </si>
  <si>
    <t>ORD0842</t>
  </si>
  <si>
    <t>ORD0843</t>
  </si>
  <si>
    <t>ORD0844</t>
  </si>
  <si>
    <t>ORD0845</t>
  </si>
  <si>
    <t>ORD0846</t>
  </si>
  <si>
    <t>ORD0847</t>
  </si>
  <si>
    <t>ORD0848</t>
  </si>
  <si>
    <t>ORD0849</t>
  </si>
  <si>
    <t>ORD0850</t>
  </si>
  <si>
    <t>ORD0851</t>
  </si>
  <si>
    <t>ORD0852</t>
  </si>
  <si>
    <t>ORD0853</t>
  </si>
  <si>
    <t>ORD0854</t>
  </si>
  <si>
    <t>ORD0855</t>
  </si>
  <si>
    <t>ORD0856</t>
  </si>
  <si>
    <t>ORD0857</t>
  </si>
  <si>
    <t>ORD0858</t>
  </si>
  <si>
    <t>ORD0859</t>
  </si>
  <si>
    <t>ORD0860</t>
  </si>
  <si>
    <t>ORD0861</t>
  </si>
  <si>
    <t>ORD0862</t>
  </si>
  <si>
    <t>ORD0863</t>
  </si>
  <si>
    <t>ORD0864</t>
  </si>
  <si>
    <t>ORD0865</t>
  </si>
  <si>
    <t>ORD0866</t>
  </si>
  <si>
    <t>ORD0867</t>
  </si>
  <si>
    <t>ORD0868</t>
  </si>
  <si>
    <t>ORD0869</t>
  </si>
  <si>
    <t>ORD0870</t>
  </si>
  <si>
    <t>ORD0871</t>
  </si>
  <si>
    <t>ORD0872</t>
  </si>
  <si>
    <t>ORD0873</t>
  </si>
  <si>
    <t>ORD0874</t>
  </si>
  <si>
    <t>ORD0875</t>
  </si>
  <si>
    <t>ORD0876</t>
  </si>
  <si>
    <t>ORD0877</t>
  </si>
  <si>
    <t>ORD0878</t>
  </si>
  <si>
    <t>ORD0879</t>
  </si>
  <si>
    <t>ORD0880</t>
  </si>
  <si>
    <t>ORD0881</t>
  </si>
  <si>
    <t>ORD0882</t>
  </si>
  <si>
    <t>ORD0883</t>
  </si>
  <si>
    <t>ORD0884</t>
  </si>
  <si>
    <t>ORD0885</t>
  </si>
  <si>
    <t>ORD0886</t>
  </si>
  <si>
    <t>ORD0887</t>
  </si>
  <si>
    <t>ORD0888</t>
  </si>
  <si>
    <t>ORD0889</t>
  </si>
  <si>
    <t>ORD0890</t>
  </si>
  <si>
    <t>ORD0891</t>
  </si>
  <si>
    <t>ORD0892</t>
  </si>
  <si>
    <t>ORD0893</t>
  </si>
  <si>
    <t>ORD0894</t>
  </si>
  <si>
    <t>ORD0895</t>
  </si>
  <si>
    <t>ORD0896</t>
  </si>
  <si>
    <t>ORD0897</t>
  </si>
  <si>
    <t>ORD0898</t>
  </si>
  <si>
    <t>ORD0899</t>
  </si>
  <si>
    <t>ORD0900</t>
  </si>
  <si>
    <t>ORD0901</t>
  </si>
  <si>
    <t>ORD0902</t>
  </si>
  <si>
    <t>ORD0903</t>
  </si>
  <si>
    <t>ORD0904</t>
  </si>
  <si>
    <t>ORD0905</t>
  </si>
  <si>
    <t>ORD0906</t>
  </si>
  <si>
    <t>ORD0907</t>
  </si>
  <si>
    <t>ORD0908</t>
  </si>
  <si>
    <t>ORD0909</t>
  </si>
  <si>
    <t>ORD0910</t>
  </si>
  <si>
    <t>ORD0911</t>
  </si>
  <si>
    <t>ORD0912</t>
  </si>
  <si>
    <t>ORD0913</t>
  </si>
  <si>
    <t>ORD0914</t>
  </si>
  <si>
    <t>ORD0915</t>
  </si>
  <si>
    <t>ORD0916</t>
  </si>
  <si>
    <t>ORD0917</t>
  </si>
  <si>
    <t>ORD0918</t>
  </si>
  <si>
    <t>ORD0919</t>
  </si>
  <si>
    <t>ORD0920</t>
  </si>
  <si>
    <t>ORD0921</t>
  </si>
  <si>
    <t>ORD0922</t>
  </si>
  <si>
    <t>ORD0923</t>
  </si>
  <si>
    <t>ORD0924</t>
  </si>
  <si>
    <t>ORD0925</t>
  </si>
  <si>
    <t>ORD0926</t>
  </si>
  <si>
    <t>ORD0927</t>
  </si>
  <si>
    <t>ORD0928</t>
  </si>
  <si>
    <t>ORD0929</t>
  </si>
  <si>
    <t>ORD0930</t>
  </si>
  <si>
    <t>ORD0931</t>
  </si>
  <si>
    <t>ORD0932</t>
  </si>
  <si>
    <t>ORD0933</t>
  </si>
  <si>
    <t>ORD0934</t>
  </si>
  <si>
    <t>ORD0935</t>
  </si>
  <si>
    <t>ORD0936</t>
  </si>
  <si>
    <t>ORD0937</t>
  </si>
  <si>
    <t>ORD0938</t>
  </si>
  <si>
    <t>ORD0939</t>
  </si>
  <si>
    <t>ORD0940</t>
  </si>
  <si>
    <t>ORD0941</t>
  </si>
  <si>
    <t>ORD0942</t>
  </si>
  <si>
    <t>ORD0943</t>
  </si>
  <si>
    <t>ORD0944</t>
  </si>
  <si>
    <t>ORD0945</t>
  </si>
  <si>
    <t>ORD0946</t>
  </si>
  <si>
    <t>ORD0947</t>
  </si>
  <si>
    <t>ORD0948</t>
  </si>
  <si>
    <t>ORD0949</t>
  </si>
  <si>
    <t>ORD0950</t>
  </si>
  <si>
    <t>ORD0951</t>
  </si>
  <si>
    <t>ORD0952</t>
  </si>
  <si>
    <t>ORD0953</t>
  </si>
  <si>
    <t>ORD0954</t>
  </si>
  <si>
    <t>ORD0955</t>
  </si>
  <si>
    <t>ORD0956</t>
  </si>
  <si>
    <t>ORD0957</t>
  </si>
  <si>
    <t>ORD0958</t>
  </si>
  <si>
    <t>ORD0959</t>
  </si>
  <si>
    <t>ORD0960</t>
  </si>
  <si>
    <t>ORD0961</t>
  </si>
  <si>
    <t>ORD0962</t>
  </si>
  <si>
    <t>ORD0963</t>
  </si>
  <si>
    <t>ORD0964</t>
  </si>
  <si>
    <t>ORD0965</t>
  </si>
  <si>
    <t>ORD0966</t>
  </si>
  <si>
    <t>ORD0967</t>
  </si>
  <si>
    <t>ORD0968</t>
  </si>
  <si>
    <t>Customer_80</t>
  </si>
  <si>
    <t>ORD0969</t>
  </si>
  <si>
    <t>ORD0970</t>
  </si>
  <si>
    <t>ORD0971</t>
  </si>
  <si>
    <t>ORD0972</t>
  </si>
  <si>
    <t>ORD0973</t>
  </si>
  <si>
    <t>ORD0974</t>
  </si>
  <si>
    <t>ORD0975</t>
  </si>
  <si>
    <t>ORD0976</t>
  </si>
  <si>
    <t>ORD0977</t>
  </si>
  <si>
    <t>ORD0978</t>
  </si>
  <si>
    <t>ORD0979</t>
  </si>
  <si>
    <t>ORD0980</t>
  </si>
  <si>
    <t>ORD0981</t>
  </si>
  <si>
    <t>ORD0982</t>
  </si>
  <si>
    <t>ORD0983</t>
  </si>
  <si>
    <t>ORD0984</t>
  </si>
  <si>
    <t>ORD0985</t>
  </si>
  <si>
    <t>ORD0986</t>
  </si>
  <si>
    <t>ORD0987</t>
  </si>
  <si>
    <t>ORD0988</t>
  </si>
  <si>
    <t>ORD0989</t>
  </si>
  <si>
    <t>ORD0990</t>
  </si>
  <si>
    <t>ORD0991</t>
  </si>
  <si>
    <t>ORD0992</t>
  </si>
  <si>
    <t>ORD0993</t>
  </si>
  <si>
    <t>ORD0994</t>
  </si>
  <si>
    <t>ORD0995</t>
  </si>
  <si>
    <t>ORD0996</t>
  </si>
  <si>
    <t>ORD0997</t>
  </si>
  <si>
    <t>ORD0998</t>
  </si>
  <si>
    <t>ORD0999</t>
  </si>
  <si>
    <t>ORD1000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</si>
  <si>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</si>
  <si>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</si>
  <si>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</si>
  <si>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</si>
  <si>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</si>
  <si>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</si>
  <si>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</si>
  <si>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</si>
  <si>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</si>
  <si>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</si>
  <si>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</si>
  <si>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</si>
  <si>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</si>
  <si>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</si>
  <si>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</si>
  <si>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</si>
  <si>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</si>
  <si>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</si>
  <si>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</si>
  <si>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</si>
  <si>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</si>
  <si>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</si>
  <si>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</si>
  <si>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</si>
  <si>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</si>
  <si>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</si>
  <si>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</si>
  <si>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</si>
  <si>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</si>
  <si>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</si>
  <si>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</si>
  <si>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</si>
  <si>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</si>
  <si>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</si>
  <si>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</si>
  <si>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</si>
  <si>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</si>
  <si>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</si>
  <si>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</si>
  <si>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</si>
  <si>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</si>
  <si>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</si>
  <si>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</si>
  <si>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</si>
  <si>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</si>
  <si>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</si>
  <si>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</si>
  <si>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</si>
  <si>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</si>
  <si>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</si>
  <si>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</si>
  <si>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</si>
  <si>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</si>
  <si>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</si>
  <si>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</si>
  <si>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</si>
  <si>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</si>
  <si>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</si>
  <si>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</si>
  <si>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</si>
  <si>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</si>
  <si>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</si>
  <si>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</si>
  <si>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</si>
  <si>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</si>
  <si>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</si>
  <si>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</si>
  <si>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</si>
  <si>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</si>
  <si>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</si>
  <si>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</si>
  <si>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</si>
  <si>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Customer_112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</si>
  <si>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</si>
  <si>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</si>
  <si>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</si>
  <si>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</si>
  <si>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</si>
  <si>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</si>
  <si>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</si>
  <si>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</si>
  <si>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</si>
  <si>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</si>
  <si>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</si>
  <si>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</si>
  <si>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</si>
  <si>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</si>
  <si>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</si>
  <si>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</si>
  <si>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</si>
  <si>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</si>
  <si>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</si>
  <si>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</si>
  <si>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</si>
  <si>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</si>
  <si>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</si>
  <si>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</si>
  <si>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</si>
  <si>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</si>
  <si>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</si>
  <si>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</si>
  <si>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</si>
  <si>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</si>
  <si>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</si>
  <si>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</si>
  <si>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</si>
  <si>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</si>
  <si>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</si>
  <si>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</si>
  <si>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</si>
  <si>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</si>
  <si>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</si>
  <si>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</si>
  <si>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</si>
  <si>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</si>
  <si>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</si>
  <si>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</si>
  <si>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</si>
  <si>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</si>
  <si>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</si>
  <si>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</si>
  <si>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</si>
  <si>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</si>
  <si>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</si>
  <si>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</si>
  <si>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</si>
  <si>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</si>
  <si>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</si>
  <si>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</si>
  <si>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</si>
  <si>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</si>
  <si>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</si>
  <si>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</si>
  <si>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</si>
  <si>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</si>
  <si>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</si>
  <si>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</si>
  <si>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</si>
  <si>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</si>
  <si>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</si>
  <si>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</si>
  <si>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</si>
  <si>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</si>
  <si>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</si>
  <si>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</si>
  <si>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</si>
  <si>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</si>
  <si>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</si>
  <si>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</si>
  <si>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</si>
  <si>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</si>
  <si>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</si>
  <si>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</si>
  <si>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</si>
  <si>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</si>
  <si>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</si>
  <si>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</si>
  <si>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</si>
  <si>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</si>
  <si>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</si>
  <si>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</si>
  <si>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Grand Total</t>
  </si>
  <si>
    <t>date</t>
  </si>
  <si>
    <t>Total</t>
  </si>
  <si>
    <t xml:space="preserve"> Budget_Revenue</t>
  </si>
  <si>
    <t>Sales_Amount &amp; revenue</t>
  </si>
  <si>
    <t>away_form target</t>
  </si>
  <si>
    <t>Sales_Amount &amp; Revenue</t>
  </si>
  <si>
    <t>away_form target %</t>
  </si>
  <si>
    <t xml:space="preserve"> Budget_Expense</t>
  </si>
  <si>
    <t>amount_diffrence</t>
  </si>
  <si>
    <t xml:space="preserve"> Quantity</t>
  </si>
  <si>
    <t>PRODUCTWISE_SALES</t>
  </si>
  <si>
    <t>REGIONWISE_SALES</t>
  </si>
  <si>
    <t>REGIONWISE_BUDEGET_REVENUE</t>
  </si>
  <si>
    <t>REGIONWISE_REVENUE_STATUS</t>
  </si>
  <si>
    <t>CATEGORYWISE_SALES</t>
  </si>
  <si>
    <t>REGIONWISE_EXPENSE_STATUS</t>
  </si>
  <si>
    <t>Count of Customer_Name</t>
  </si>
  <si>
    <t>Sum of Sales_Amount</t>
  </si>
  <si>
    <t>Sum of before_discount_amount</t>
  </si>
  <si>
    <t>Sum of discount_amount</t>
  </si>
  <si>
    <t>Sum of Quantity</t>
  </si>
  <si>
    <t>Sum of Budget_Expense</t>
  </si>
  <si>
    <t>Sum of Budget_Revenue</t>
  </si>
  <si>
    <t>Sum of Amount</t>
  </si>
  <si>
    <t>DASHBORD_DATA</t>
  </si>
  <si>
    <t>REGIONWISE_DISCOUNT_STATUS</t>
  </si>
  <si>
    <t>Discount_status</t>
  </si>
  <si>
    <t>QUANTITY_BY_REGION</t>
  </si>
  <si>
    <t xml:space="preserve"> before_discount_amount</t>
  </si>
  <si>
    <t xml:space="preserve"> discount_amount</t>
  </si>
  <si>
    <t>total_sales &amp; revenue ad</t>
  </si>
  <si>
    <t>loss_reason</t>
  </si>
  <si>
    <t>low_sales</t>
  </si>
  <si>
    <t>Budget_&amp;_Planned</t>
  </si>
  <si>
    <t>TOP_CUSTOMER</t>
  </si>
  <si>
    <t>west</t>
  </si>
  <si>
    <t>east</t>
  </si>
  <si>
    <t>north</t>
  </si>
  <si>
    <t>south</t>
  </si>
  <si>
    <t>region</t>
  </si>
  <si>
    <t>Column1</t>
  </si>
  <si>
    <t>West Bengal</t>
  </si>
  <si>
    <t>CUSTOMER_TRANSCTION_BY_REGION</t>
  </si>
  <si>
    <t>count_of_customer_name_by_region</t>
  </si>
  <si>
    <t>Budget_EBITDA</t>
  </si>
  <si>
    <t>Budget_ profit %</t>
  </si>
  <si>
    <t>total_loss_EBITDA</t>
  </si>
  <si>
    <t>Expense_amount</t>
  </si>
  <si>
    <t>Expense_status</t>
  </si>
  <si>
    <t>total_expense</t>
  </si>
  <si>
    <t>ACTUAL PERFORMANCE</t>
  </si>
  <si>
    <t>ANALYSIS_FOR_DASHBORD</t>
  </si>
  <si>
    <t>expense amount</t>
  </si>
  <si>
    <t xml:space="preserve"> Sales_Amount</t>
  </si>
  <si>
    <t>ACTUAL SALES &amp;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</si>
</sst>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1" fillId="2" borderId="1" xfId="0" applyNumberFormat="1" applyFont="1" applyFill="1" applyBorder="1"/>
    <xf numFmtId="0" fontId="0" fillId="0" borderId="0" xfId="0" pivotButton="1"/>
    <xf numFmtId="9" fontId="0" fillId="0" borderId="0" xfId="1" applyFont="1"/>
    <xf numFmtId="0" fontId="3" fillId="4" borderId="3" xfId="0" applyFont="1" applyFill="1" applyBorder="1"/>
    <xf numFmtId="0" fontId="0" fillId="5" borderId="0" xfId="0" applyFill="1"/>
    <xf numFmtId="0" fontId="0" fillId="5" borderId="0" xfId="0" applyNumberFormat="1" applyFill="1"/>
    <xf numFmtId="0" fontId="3" fillId="4" borderId="4" xfId="0" applyNumberFormat="1" applyFont="1" applyFill="1" applyBorder="1"/>
    <xf numFmtId="9" fontId="3" fillId="4" borderId="4" xfId="1" applyFont="1" applyFill="1" applyBorder="1"/>
    <xf numFmtId="9" fontId="0" fillId="5" borderId="0" xfId="1" applyFont="1" applyFill="1"/>
    <xf numFmtId="9" fontId="0" fillId="3" borderId="0" xfId="1" applyFont="1" applyFill="1"/>
    <xf numFmtId="0" fontId="3" fillId="4" borderId="3" xfId="0" applyFont="1" applyFill="1" applyBorder="1" applyAlignment="1"/>
    <xf numFmtId="0" fontId="0" fillId="0" borderId="2" xfId="0" applyBorder="1"/>
    <xf numFmtId="0" fontId="0" fillId="0" borderId="2" xfId="0" applyNumberFormat="1" applyBorder="1"/>
    <xf numFmtId="9" fontId="0" fillId="0" borderId="2" xfId="1" applyFont="1" applyBorder="1"/>
    <xf numFmtId="0" fontId="0" fillId="5" borderId="0" xfId="0" applyFill="1" applyAlignment="1">
      <alignment vertical="center"/>
    </xf>
    <xf numFmtId="0" fontId="4" fillId="5" borderId="0" xfId="0" applyFont="1" applyFill="1"/>
    <xf numFmtId="0" fontId="0" fillId="0" borderId="5" xfId="0" applyBorder="1"/>
    <xf numFmtId="0" fontId="0" fillId="5" borderId="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1">
    <dxf>
      <numFmt numFmtId="0" formatCode="General"/>
    </dxf>
    <dxf>
      <numFmt numFmtId="2" formatCode="0.00"/>
    </dxf>
    <dxf>
      <numFmt numFmtId="19" formatCode="m/d/yyyy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openxmlformats.org/officeDocument/2006/relationships/pivotCacheDefinition" Target="pivotCache/pivotCacheDefinition16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pivotCacheDefinition" Target="pivotCache/pivotCacheDefinition1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pivotCacheDefinition" Target="pivotCache/pivotCacheDefinition15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pivotCacheDefinition" Target="pivotCache/pivotCacheDefinition14.xml"/><Relationship Id="rId28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pivotCacheDefinition" Target="pivotCache/pivotCacheDefinition13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(2).xlsm]Pivot_table_analysis!PivotTable5</c:name>
    <c:fmtId val="3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4.191616766467067E-2"/>
              <c:y val="-0.1044386422976502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487025948103791"/>
                  <c:h val="8.3472790444275399E-2"/>
                </c:manualLayout>
              </c15:layout>
            </c:ext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0"/>
              <c:y val="-7.3107049608355096E-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4.191616766467067E-2"/>
              <c:y val="-0.1044386422976502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487025948103791"/>
                  <c:h val="8.3472790444275399E-2"/>
                </c:manualLayout>
              </c15:layout>
            </c:ext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0"/>
              <c:y val="-7.3107049608355096E-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4.191616766467067E-2"/>
              <c:y val="-0.1044386422976502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487025948103791"/>
                  <c:h val="8.3472790444275399E-2"/>
                </c:manualLayout>
              </c15:layout>
            </c:ext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0"/>
              <c:y val="-7.3107049608355096E-2"/>
            </c:manualLayout>
          </c:layout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General" sourceLinked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1289075392522042"/>
          <c:y val="0.17689356715528054"/>
          <c:w val="0.7511811023622047"/>
          <c:h val="0.7019666536461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Pivot_table_analysis!$K$3</c:f>
              <c:strCache>
                <c:ptCount val="1"/>
                <c:pt idx="0">
                  <c:v>Sales_Amount &amp;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61C-4F01-B9AB-DD8DE6CE0F2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FC-475D-9D7D-FE3721B75A6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61C-4F01-B9AB-DD8DE6CE0F23}"/>
              </c:ext>
            </c:extLst>
          </c:dPt>
          <c:dLbls>
            <c:dLbl>
              <c:idx val="1"/>
              <c:layout>
                <c:manualLayout>
                  <c:x val="-4.191616766467067E-2"/>
                  <c:y val="-0.10443864229765022"/>
                </c:manualLayout>
              </c:layout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487025948103791"/>
                      <c:h val="8.347279044427539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61C-4F01-B9AB-DD8DE6CE0F23}"/>
                </c:ext>
              </c:extLst>
            </c:dLbl>
            <c:dLbl>
              <c:idx val="2"/>
              <c:layout>
                <c:manualLayout>
                  <c:x val="0"/>
                  <c:y val="-7.3107049608355096E-2"/>
                </c:manualLayout>
              </c:layout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8FC-475D-9D7D-FE3721B75A63}"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Pivot_table_analysis!$J$4:$J$8</c:f>
              <c:strCache>
                <c:ptCount val="4"/>
                <c:pt idx="0">
                  <c:v>West</c:v>
                </c:pt>
                <c:pt idx="1">
                  <c:v>North</c:v>
                </c:pt>
                <c:pt idx="2">
                  <c:v>South</c:v>
                </c:pt>
                <c:pt idx="3">
                  <c:v>East</c:v>
                </c:pt>
              </c:strCache>
            </c:strRef>
          </c:cat>
          <c:val>
            <c:numRef>
              <c:f>Pivot_table_analysis!$K$4:$K$8</c:f>
              <c:numCache>
                <c:formatCode>General</c:formatCode>
                <c:ptCount val="4"/>
                <c:pt idx="0">
                  <c:v>4786421.22</c:v>
                </c:pt>
                <c:pt idx="1">
                  <c:v>2850832.43</c:v>
                </c:pt>
                <c:pt idx="2">
                  <c:v>2132718.2200000002</c:v>
                </c:pt>
                <c:pt idx="3">
                  <c:v>2048003.09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C-4F01-B9AB-DD8DE6CE0F23}"/>
            </c:ext>
          </c:extLst>
        </c:ser>
        <c:ser>
          <c:idx val="1"/>
          <c:order val="1"/>
          <c:tx>
            <c:strRef>
              <c:f>Pivot_table_analysis!$L$3</c:f>
              <c:strCache>
                <c:ptCount val="1"/>
                <c:pt idx="0">
                  <c:v> Budget_Revenue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General" sourceLinked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Pivot_table_analysis!$J$4:$J$8</c:f>
              <c:strCache>
                <c:ptCount val="4"/>
                <c:pt idx="0">
                  <c:v>West</c:v>
                </c:pt>
                <c:pt idx="1">
                  <c:v>North</c:v>
                </c:pt>
                <c:pt idx="2">
                  <c:v>South</c:v>
                </c:pt>
                <c:pt idx="3">
                  <c:v>East</c:v>
                </c:pt>
              </c:strCache>
            </c:strRef>
          </c:cat>
          <c:val>
            <c:numRef>
              <c:f>Pivot_table_analysis!$L$4:$L$8</c:f>
              <c:numCache>
                <c:formatCode>General</c:formatCode>
                <c:ptCount val="4"/>
                <c:pt idx="0">
                  <c:v>12981200</c:v>
                </c:pt>
                <c:pt idx="1">
                  <c:v>13179265</c:v>
                </c:pt>
                <c:pt idx="2">
                  <c:v>13131980</c:v>
                </c:pt>
                <c:pt idx="3">
                  <c:v>13008087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1C-4F01-B9AB-DD8DE6CE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002992"/>
        <c:axId val="159005488"/>
      </c:barChart>
      <c:catAx>
        <c:axId val="15900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05488"/>
        <c:crosses val="autoZero"/>
        <c:auto val="1"/>
        <c:lblAlgn val="ctr"/>
        <c:lblOffset val="100"/>
        <c:noMultiLvlLbl val="0"/>
      </c:catAx>
      <c:valAx>
        <c:axId val="159005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0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(2).xlsm]Pivot_table_analysis!PivotTable7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1446226506454905E-2"/>
              <c:y val="-0.194943255855394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397902248973846"/>
              <c:y val="0.11750036195970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2107658728096"/>
              <c:y val="8.61753666930247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2107658728096"/>
              <c:y val="8.61753666930247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1446226506454905E-2"/>
              <c:y val="-0.194943255855394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397902248973846"/>
              <c:y val="0.11750036195970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2107658728096"/>
              <c:y val="8.61753666930247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1446226506454905E-2"/>
              <c:y val="-0.194943255855394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397902248973846"/>
              <c:y val="0.11750036195970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2107658728096"/>
              <c:y val="8.61753666930247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1446226506454905E-2"/>
              <c:y val="-0.194943255855394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397902248973846"/>
              <c:y val="0.11750036195970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Pivot_table_analysis!$H$12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2D-4A8D-97F3-4C219ACC0145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2D-4A8D-97F3-4C219ACC014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2D-4A8D-97F3-4C219ACC0145}"/>
              </c:ext>
            </c:extLst>
          </c:dPt>
          <c:dLbls>
            <c:dLbl>
              <c:idx val="0"/>
              <c:layout>
                <c:manualLayout>
                  <c:x val="-0.14132107658728096"/>
                  <c:y val="8.61753666930247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6E2D-4A8D-97F3-4C219ACC0145}"/>
                </c:ext>
              </c:extLst>
            </c:dLbl>
            <c:dLbl>
              <c:idx val="1"/>
              <c:layout>
                <c:manualLayout>
                  <c:x val="2.1446226506454905E-2"/>
                  <c:y val="-0.1949432558553943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E2D-4A8D-97F3-4C219ACC0145}"/>
                </c:ext>
              </c:extLst>
            </c:dLbl>
            <c:dLbl>
              <c:idx val="2"/>
              <c:layout>
                <c:manualLayout>
                  <c:x val="0.14397902248973846"/>
                  <c:y val="0.1175003619597055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6E2D-4A8D-97F3-4C219ACC01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Pivot_table_analysis!$G$13:$G$16</c:f>
              <c:strCache>
                <c:ptCount val="3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Pivot_table_analysis!$H$13:$H$16</c:f>
              <c:numCache>
                <c:formatCode>General</c:formatCode>
                <c:ptCount val="3"/>
                <c:pt idx="0">
                  <c:v>4188794.97</c:v>
                </c:pt>
                <c:pt idx="1">
                  <c:v>3896125.65</c:v>
                </c:pt>
                <c:pt idx="2">
                  <c:v>3733054.34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2D-4A8D-97F3-4C219ACC0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(2).xlsm]Pivot_table_analysis!PivotTable3</c:name>
    <c:fmtId val="3"/>
  </c:pivotSource>
  <c:chart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rgbClr val="FFC000">
                <a:lumMod val="20000"/>
                <a:lumOff val="80000"/>
              </a:srgbClr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Pivot_table_analysis!$K$12</c:f>
              <c:strCache>
                <c:ptCount val="1"/>
                <c:pt idx="0">
                  <c:v> Budget_Expense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C000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Pivot_table_analysis!$J$13:$J$17</c:f>
              <c:strCache>
                <c:ptCount val="4"/>
                <c:pt idx="0">
                  <c:v>South</c:v>
                </c:pt>
                <c:pt idx="1">
                  <c:v>West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Pivot_table_analysis!$K$13:$K$17</c:f>
              <c:numCache>
                <c:formatCode>General</c:formatCode>
                <c:ptCount val="4"/>
                <c:pt idx="0">
                  <c:v>8270649</c:v>
                </c:pt>
                <c:pt idx="1">
                  <c:v>8041705</c:v>
                </c:pt>
                <c:pt idx="2">
                  <c:v>7812136</c:v>
                </c:pt>
                <c:pt idx="3">
                  <c:v>7487180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35-4D75-94B2-019C841DDEC3}"/>
            </c:ext>
          </c:extLst>
        </c:ser>
        <c:ser>
          <c:idx val="1"/>
          <c:order val="1"/>
          <c:tx>
            <c:strRef>
              <c:f>Pivot_table_analysis!$L$12</c:f>
              <c:strCache>
                <c:ptCount val="1"/>
                <c:pt idx="0">
                  <c:v>Expense_amount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Pivot_table_analysis!$J$13:$J$17</c:f>
              <c:strCache>
                <c:ptCount val="4"/>
                <c:pt idx="0">
                  <c:v>South</c:v>
                </c:pt>
                <c:pt idx="1">
                  <c:v>West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Pivot_table_analysis!$L$13:$L$17</c:f>
              <c:numCache>
                <c:formatCode>General</c:formatCode>
                <c:ptCount val="4"/>
                <c:pt idx="0">
                  <c:v>4717470</c:v>
                </c:pt>
                <c:pt idx="1">
                  <c:v>3774901</c:v>
                </c:pt>
                <c:pt idx="2">
                  <c:v>3914234</c:v>
                </c:pt>
                <c:pt idx="3">
                  <c:v>4725831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5-4D75-94B2-019C841D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94513488"/>
        <c:axId val="294505584"/>
      </c:barChart>
      <c:catAx>
        <c:axId val="294513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505584"/>
        <c:crosses val="autoZero"/>
        <c:auto val="1"/>
        <c:lblAlgn val="ctr"/>
        <c:lblOffset val="100"/>
        <c:noMultiLvlLbl val="0"/>
      </c:catAx>
      <c:valAx>
        <c:axId val="29450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51348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(2).xlsm]Sheet2!PivotTable6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341447944006998"/>
          <c:y val="4.6296296296296294E-2"/>
          <c:w val="0.74080774278215222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Sheet2!$E$12:$E$17</c:f>
              <c:strCache>
                <c:ptCount val="5"/>
                <c:pt idx="0">
                  <c:v>Customer_120</c:v>
                </c:pt>
                <c:pt idx="1">
                  <c:v>Customer_95</c:v>
                </c:pt>
                <c:pt idx="2">
                  <c:v>Customer_10</c:v>
                </c:pt>
                <c:pt idx="3">
                  <c:v>Customer_72</c:v>
                </c:pt>
                <c:pt idx="4">
                  <c:v>Customer_177</c:v>
                </c:pt>
              </c:strCache>
            </c:strRef>
          </c:cat>
          <c:val>
            <c:numRef>
              <c:f>Sheet2!$F$12:$F$17</c:f>
              <c:numCache>
                <c:formatCode>General</c:formatCode>
                <c:ptCount val="5"/>
                <c:pt idx="0">
                  <c:v>118498.35</c:v>
                </c:pt>
                <c:pt idx="1">
                  <c:v>119929.65</c:v>
                </c:pt>
                <c:pt idx="2">
                  <c:v>136579.57999999999</c:v>
                </c:pt>
                <c:pt idx="3">
                  <c:v>172644.9</c:v>
                </c:pt>
                <c:pt idx="4">
                  <c:v>179984.77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75-4457-B82C-98412C125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3788704"/>
        <c:axId val="83789120"/>
      </c:barChart>
      <c:catAx>
        <c:axId val="83788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89120"/>
        <c:crosses val="autoZero"/>
        <c:auto val="1"/>
        <c:lblAlgn val="ctr"/>
        <c:lblOffset val="100"/>
        <c:noMultiLvlLbl val="0"/>
      </c:catAx>
      <c:valAx>
        <c:axId val="8378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8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(2).xlsm]Pivot_table_analysis!PivotTable1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0080336832895886"/>
          <c:y val="5.0925925925925923E-2"/>
          <c:w val="0.84330774278215226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Pivot_table_analysis!$B$20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Pivot_table_analysis!$A$21:$A$25</c:f>
              <c:strCache>
                <c:ptCount val="4"/>
                <c:pt idx="0">
                  <c:v>West</c:v>
                </c:pt>
                <c:pt idx="1">
                  <c:v>North</c:v>
                </c:pt>
                <c:pt idx="2">
                  <c:v>South</c:v>
                </c:pt>
                <c:pt idx="3">
                  <c:v>East</c:v>
                </c:pt>
              </c:strCache>
            </c:strRef>
          </c:cat>
          <c:val>
            <c:numRef>
              <c:f>Pivot_table_analysis!$B$21:$B$25</c:f>
              <c:numCache>
                <c:formatCode>General</c:formatCode>
                <c:ptCount val="4"/>
                <c:pt idx="0">
                  <c:v>2197</c:v>
                </c:pt>
                <c:pt idx="1">
                  <c:v>1337</c:v>
                </c:pt>
                <c:pt idx="2">
                  <c:v>1000</c:v>
                </c:pt>
                <c:pt idx="3">
                  <c:v>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5-42B6-BC33-57EEEF7C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96585696"/>
        <c:axId val="296586112"/>
      </c:barChart>
      <c:catAx>
        <c:axId val="296585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86112"/>
        <c:crosses val="autoZero"/>
        <c:auto val="1"/>
        <c:lblAlgn val="ctr"/>
        <c:lblOffset val="100"/>
        <c:noMultiLvlLbl val="0"/>
      </c:catAx>
      <c:valAx>
        <c:axId val="2965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8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 Sales &amp; Expense Performance Analysis - Copy (2).xlsm]Pivot_table_analysis!PivotTable11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Pivot_table_analysis!$H$28</c:f>
              <c:strCache>
                <c:ptCount val="1"/>
                <c:pt idx="0">
                  <c:v> Sales_Amount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Pivot_table_analysis!$G$29:$G$33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Pivot_table_analysis!$H$29:$H$33</c:f>
              <c:numCache>
                <c:formatCode>General</c:formatCode>
                <c:ptCount val="4"/>
                <c:pt idx="0">
                  <c:v>2048003.09</c:v>
                </c:pt>
                <c:pt idx="1">
                  <c:v>2850832.43</c:v>
                </c:pt>
                <c:pt idx="2">
                  <c:v>2132718.2200000002</c:v>
                </c:pt>
                <c:pt idx="3">
                  <c:v>4786421.22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CC1-A487-CD3885DC40ED}"/>
            </c:ext>
          </c:extLst>
        </c:ser>
        <c:ser>
          <c:idx val="1"/>
          <c:order val="1"/>
          <c:tx>
            <c:strRef>
              <c:f>Pivot_table_analysis!$I$28</c:f>
              <c:strCache>
                <c:ptCount val="1"/>
                <c:pt idx="0">
                  <c:v>expense amount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Pivot_table_analysis!$G$29:$G$33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Pivot_table_analysis!$I$29:$I$33</c:f>
              <c:numCache>
                <c:formatCode>General</c:formatCode>
                <c:ptCount val="4"/>
                <c:pt idx="0">
                  <c:v>3914234</c:v>
                </c:pt>
                <c:pt idx="1">
                  <c:v>4725831</c:v>
                </c:pt>
                <c:pt idx="2">
                  <c:v>4717470</c:v>
                </c:pt>
                <c:pt idx="3">
                  <c:v>3774901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5-4CC1-A487-CD3885DC4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731600"/>
        <c:axId val="206727440"/>
      </c:barChart>
      <c:catAx>
        <c:axId val="2067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27440"/>
        <c:crosses val="autoZero"/>
        <c:auto val="1"/>
        <c:lblAlgn val="ctr"/>
        <c:lblOffset val="100"/>
        <c:noMultiLvlLbl val="0"/>
      </c:catAx>
      <c:valAx>
        <c:axId val="206727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3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S$39" max="30000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25400</xdr:rowOff>
    </xdr:from>
    <xdr:to>
      <xdr:col>18</xdr:col>
      <xdr:colOff>570204</xdr:colOff>
      <xdr:row>1</xdr:row>
      <xdr:rowOff>103673</xdr:rowOff>
    </xdr:to>
    <xdr:sp macro="" textlink="">
      <xdr:nvSpPr>
        <xdr:cNvPr id="5" name="Rounded Rectangle 4"/>
        <xdr:cNvSpPr/>
      </xdr:nvSpPr>
      <xdr:spPr>
        <a:xfrm>
          <a:off x="12700" y="25400"/>
          <a:ext cx="12402198" cy="25970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accent1">
                  <a:lumMod val="50000"/>
                </a:schemeClr>
              </a:solidFill>
            </a:rPr>
            <a:t>Regional Sales &amp; Expense Performance Analysis</a:t>
          </a:r>
        </a:p>
      </xdr:txBody>
    </xdr:sp>
    <xdr:clientData/>
  </xdr:twoCellAnchor>
  <xdr:twoCellAnchor>
    <xdr:from>
      <xdr:col>0</xdr:col>
      <xdr:colOff>37121</xdr:colOff>
      <xdr:row>1</xdr:row>
      <xdr:rowOff>127001</xdr:rowOff>
    </xdr:from>
    <xdr:to>
      <xdr:col>1</xdr:col>
      <xdr:colOff>389850</xdr:colOff>
      <xdr:row>4</xdr:row>
      <xdr:rowOff>162285</xdr:rowOff>
    </xdr:to>
    <xdr:grpSp>
      <xdr:nvGrpSpPr>
        <xdr:cNvPr id="8" name="Group 7"/>
        <xdr:cNvGrpSpPr/>
      </xdr:nvGrpSpPr>
      <xdr:grpSpPr>
        <a:xfrm>
          <a:off x="37121" y="308430"/>
          <a:ext cx="961811" cy="579569"/>
          <a:chOff x="487467" y="3102941"/>
          <a:chExt cx="1125738" cy="838200"/>
        </a:xfrm>
      </xdr:grpSpPr>
      <xdr:sp macro="" textlink="Sheet2!A3">
        <xdr:nvSpPr>
          <xdr:cNvPr id="7" name="Rectangle 6"/>
          <xdr:cNvSpPr/>
        </xdr:nvSpPr>
        <xdr:spPr>
          <a:xfrm>
            <a:off x="487467" y="3102941"/>
            <a:ext cx="1125738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fld id="{E431F50C-57D8-40BB-8AB0-FFA00B0E920F}" type="TxLink">
              <a:rPr lang="en-US" sz="105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algn="ctr"/>
              <a:t>11817974.96</a:t>
            </a:fld>
            <a:endParaRPr lang="en-US" sz="105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9" name="Rounded Rectangle 8"/>
          <xdr:cNvSpPr/>
        </xdr:nvSpPr>
        <xdr:spPr>
          <a:xfrm>
            <a:off x="574639" y="3187117"/>
            <a:ext cx="954849" cy="30147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TOTAL_SALES</a:t>
            </a:r>
            <a:r>
              <a:rPr lang="en-IN" sz="1100" b="1">
                <a:solidFill>
                  <a:schemeClr val="accent1">
                    <a:lumMod val="75000"/>
                  </a:schemeClr>
                </a:solidFill>
              </a:rPr>
              <a:t> </a:t>
            </a:r>
          </a:p>
        </xdr:txBody>
      </xdr:sp>
    </xdr:grpSp>
    <xdr:clientData/>
  </xdr:twoCellAnchor>
  <xdr:twoCellAnchor>
    <xdr:from>
      <xdr:col>8</xdr:col>
      <xdr:colOff>254943</xdr:colOff>
      <xdr:row>1</xdr:row>
      <xdr:rowOff>136525</xdr:rowOff>
    </xdr:from>
    <xdr:to>
      <xdr:col>9</xdr:col>
      <xdr:colOff>241856</xdr:colOff>
      <xdr:row>4</xdr:row>
      <xdr:rowOff>171809</xdr:rowOff>
    </xdr:to>
    <xdr:grpSp>
      <xdr:nvGrpSpPr>
        <xdr:cNvPr id="13" name="Group 12"/>
        <xdr:cNvGrpSpPr/>
      </xdr:nvGrpSpPr>
      <xdr:grpSpPr>
        <a:xfrm>
          <a:off x="5127596" y="317954"/>
          <a:ext cx="958852" cy="579569"/>
          <a:chOff x="1778000" y="736600"/>
          <a:chExt cx="1536700" cy="838200"/>
        </a:xfrm>
      </xdr:grpSpPr>
      <xdr:sp macro="" textlink="Sheet2!B3">
        <xdr:nvSpPr>
          <xdr:cNvPr id="14" name="Rectangle 13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5B800FFB-2D1A-4647-99F2-6E8B268799FC}" type="TxLink"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5427</a:t>
            </a:fld>
            <a:endParaRPr lang="en-US" sz="16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5" name="Rounded Rectangle 14"/>
          <xdr:cNvSpPr/>
        </xdr:nvSpPr>
        <xdr:spPr>
          <a:xfrm>
            <a:off x="1876837" y="806599"/>
            <a:ext cx="1352550" cy="32738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TOTAL_ORDERS</a:t>
            </a:r>
          </a:p>
        </xdr:txBody>
      </xdr:sp>
    </xdr:grpSp>
    <xdr:clientData/>
  </xdr:twoCellAnchor>
  <xdr:twoCellAnchor>
    <xdr:from>
      <xdr:col>9</xdr:col>
      <xdr:colOff>1313430</xdr:colOff>
      <xdr:row>1</xdr:row>
      <xdr:rowOff>135241</xdr:rowOff>
    </xdr:from>
    <xdr:to>
      <xdr:col>11</xdr:col>
      <xdr:colOff>120072</xdr:colOff>
      <xdr:row>4</xdr:row>
      <xdr:rowOff>170525</xdr:rowOff>
    </xdr:to>
    <xdr:grpSp>
      <xdr:nvGrpSpPr>
        <xdr:cNvPr id="16" name="Group 15"/>
        <xdr:cNvGrpSpPr/>
      </xdr:nvGrpSpPr>
      <xdr:grpSpPr>
        <a:xfrm>
          <a:off x="7158022" y="316670"/>
          <a:ext cx="964346" cy="579569"/>
          <a:chOff x="1800095" y="1349832"/>
          <a:chExt cx="1536700" cy="838200"/>
        </a:xfrm>
      </xdr:grpSpPr>
      <xdr:sp macro="" textlink="Sheet2!C3">
        <xdr:nvSpPr>
          <xdr:cNvPr id="17" name="Rectangle 16"/>
          <xdr:cNvSpPr/>
        </xdr:nvSpPr>
        <xdr:spPr>
          <a:xfrm>
            <a:off x="1800095" y="1349832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57046D7E-308C-468B-9AB8-3354C962A75F}" type="TxLink">
              <a:rPr lang="en-US" sz="105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31611670</a:t>
            </a:fld>
            <a:endParaRPr lang="en-US" sz="12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8" name="Rounded Rectangle 17"/>
          <xdr:cNvSpPr/>
        </xdr:nvSpPr>
        <xdr:spPr>
          <a:xfrm>
            <a:off x="1830004" y="1459035"/>
            <a:ext cx="1488868" cy="303572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BUDGET</a:t>
            </a:r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_EXPENSE</a:t>
            </a:r>
          </a:p>
        </xdr:txBody>
      </xdr:sp>
    </xdr:grpSp>
    <xdr:clientData/>
  </xdr:twoCellAnchor>
  <xdr:twoCellAnchor>
    <xdr:from>
      <xdr:col>9</xdr:col>
      <xdr:colOff>293945</xdr:colOff>
      <xdr:row>1</xdr:row>
      <xdr:rowOff>136036</xdr:rowOff>
    </xdr:from>
    <xdr:to>
      <xdr:col>9</xdr:col>
      <xdr:colOff>1254065</xdr:colOff>
      <xdr:row>4</xdr:row>
      <xdr:rowOff>171320</xdr:rowOff>
    </xdr:to>
    <xdr:grpSp>
      <xdr:nvGrpSpPr>
        <xdr:cNvPr id="19" name="Group 18"/>
        <xdr:cNvGrpSpPr/>
      </xdr:nvGrpSpPr>
      <xdr:grpSpPr>
        <a:xfrm>
          <a:off x="6138537" y="317465"/>
          <a:ext cx="960120" cy="579569"/>
          <a:chOff x="3022825" y="2335248"/>
          <a:chExt cx="1536700" cy="838200"/>
        </a:xfrm>
      </xdr:grpSpPr>
      <xdr:sp macro="" textlink="Sheet2!G5">
        <xdr:nvSpPr>
          <xdr:cNvPr id="20" name="Rectangle 19"/>
          <xdr:cNvSpPr/>
        </xdr:nvSpPr>
        <xdr:spPr>
          <a:xfrm>
            <a:off x="3022825" y="2335248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97E2E254-9A1A-4505-B2D6-FF9208C1561C}" type="TxLink">
              <a:rPr lang="en-US" sz="11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17132436</a:t>
            </a:fld>
            <a:endParaRPr lang="en-US" sz="14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1" name="Rounded Rectangle 20"/>
          <xdr:cNvSpPr/>
        </xdr:nvSpPr>
        <xdr:spPr>
          <a:xfrm>
            <a:off x="3069809" y="2435862"/>
            <a:ext cx="1447802" cy="291572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TOTAL_EXPENSE</a:t>
            </a:r>
            <a:endParaRPr lang="en-IN" sz="800" b="1" baseline="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183173</xdr:colOff>
      <xdr:row>1</xdr:row>
      <xdr:rowOff>126268</xdr:rowOff>
    </xdr:from>
    <xdr:to>
      <xdr:col>19</xdr:col>
      <xdr:colOff>125046</xdr:colOff>
      <xdr:row>1</xdr:row>
      <xdr:rowOff>126268</xdr:rowOff>
    </xdr:to>
    <xdr:cxnSp macro="">
      <xdr:nvCxnSpPr>
        <xdr:cNvPr id="26" name="Straight Connector 25"/>
        <xdr:cNvCxnSpPr/>
      </xdr:nvCxnSpPr>
      <xdr:spPr>
        <a:xfrm>
          <a:off x="183173" y="309441"/>
          <a:ext cx="1241596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27609</xdr:rowOff>
    </xdr:from>
    <xdr:to>
      <xdr:col>19</xdr:col>
      <xdr:colOff>25400</xdr:colOff>
      <xdr:row>5</xdr:row>
      <xdr:rowOff>27609</xdr:rowOff>
    </xdr:to>
    <xdr:cxnSp macro="">
      <xdr:nvCxnSpPr>
        <xdr:cNvPr id="28" name="Straight Connector 27"/>
        <xdr:cNvCxnSpPr/>
      </xdr:nvCxnSpPr>
      <xdr:spPr>
        <a:xfrm>
          <a:off x="0" y="959402"/>
          <a:ext cx="124493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41972</xdr:colOff>
      <xdr:row>1</xdr:row>
      <xdr:rowOff>137076</xdr:rowOff>
    </xdr:from>
    <xdr:to>
      <xdr:col>6</xdr:col>
      <xdr:colOff>394701</xdr:colOff>
      <xdr:row>4</xdr:row>
      <xdr:rowOff>172360</xdr:rowOff>
    </xdr:to>
    <xdr:grpSp>
      <xdr:nvGrpSpPr>
        <xdr:cNvPr id="29" name="Group 28"/>
        <xdr:cNvGrpSpPr/>
      </xdr:nvGrpSpPr>
      <xdr:grpSpPr>
        <a:xfrm>
          <a:off x="3087380" y="318505"/>
          <a:ext cx="961811" cy="579569"/>
          <a:chOff x="3249792" y="667864"/>
          <a:chExt cx="1536700" cy="838200"/>
        </a:xfrm>
      </xdr:grpSpPr>
      <xdr:sp macro="" textlink="Pivot_table_analysis!N8">
        <xdr:nvSpPr>
          <xdr:cNvPr id="30" name="Rectangle 29"/>
          <xdr:cNvSpPr/>
        </xdr:nvSpPr>
        <xdr:spPr>
          <a:xfrm>
            <a:off x="3249792" y="667864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B209EAFB-39F2-4D87-B88B-C399A0F08F7F}" type="TxLink">
              <a:rPr lang="en-US" sz="105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77%</a:t>
            </a:fld>
            <a:endParaRPr lang="en-US" sz="20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31" name="Rounded Rectangle 30"/>
          <xdr:cNvSpPr/>
        </xdr:nvSpPr>
        <xdr:spPr>
          <a:xfrm>
            <a:off x="3297231" y="669567"/>
            <a:ext cx="1459089" cy="529389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AWAY_FROM</a:t>
            </a:r>
          </a:p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_TARGET %</a:t>
            </a:r>
          </a:p>
        </xdr:txBody>
      </xdr:sp>
    </xdr:grpSp>
    <xdr:clientData/>
  </xdr:twoCellAnchor>
  <xdr:twoCellAnchor>
    <xdr:from>
      <xdr:col>6</xdr:col>
      <xdr:colOff>450444</xdr:colOff>
      <xdr:row>1</xdr:row>
      <xdr:rowOff>136280</xdr:rowOff>
    </xdr:from>
    <xdr:to>
      <xdr:col>8</xdr:col>
      <xdr:colOff>195782</xdr:colOff>
      <xdr:row>4</xdr:row>
      <xdr:rowOff>171564</xdr:rowOff>
    </xdr:to>
    <xdr:grpSp>
      <xdr:nvGrpSpPr>
        <xdr:cNvPr id="32" name="Group 31"/>
        <xdr:cNvGrpSpPr/>
      </xdr:nvGrpSpPr>
      <xdr:grpSpPr>
        <a:xfrm>
          <a:off x="4104934" y="317709"/>
          <a:ext cx="963501" cy="579569"/>
          <a:chOff x="1768765" y="772429"/>
          <a:chExt cx="1536700" cy="838200"/>
        </a:xfrm>
      </xdr:grpSpPr>
      <xdr:sp macro="" textlink="">
        <xdr:nvSpPr>
          <xdr:cNvPr id="33" name="Rectangle 32"/>
          <xdr:cNvSpPr/>
        </xdr:nvSpPr>
        <xdr:spPr>
          <a:xfrm>
            <a:off x="1768765" y="772429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t>BAD</a:t>
            </a:r>
          </a:p>
        </xdr:txBody>
      </xdr:sp>
      <xdr:sp macro="" textlink="">
        <xdr:nvSpPr>
          <xdr:cNvPr id="34" name="Rounded Rectangle 33"/>
          <xdr:cNvSpPr/>
        </xdr:nvSpPr>
        <xdr:spPr>
          <a:xfrm>
            <a:off x="1866900" y="787398"/>
            <a:ext cx="1352550" cy="475284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SALES</a:t>
            </a:r>
          </a:p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_PERFORMANCE</a:t>
            </a:r>
          </a:p>
        </xdr:txBody>
      </xdr:sp>
    </xdr:grpSp>
    <xdr:clientData/>
  </xdr:twoCellAnchor>
  <xdr:twoCellAnchor>
    <xdr:from>
      <xdr:col>11</xdr:col>
      <xdr:colOff>174709</xdr:colOff>
      <xdr:row>1</xdr:row>
      <xdr:rowOff>137078</xdr:rowOff>
    </xdr:from>
    <xdr:to>
      <xdr:col>12</xdr:col>
      <xdr:colOff>527437</xdr:colOff>
      <xdr:row>4</xdr:row>
      <xdr:rowOff>172362</xdr:rowOff>
    </xdr:to>
    <xdr:grpSp>
      <xdr:nvGrpSpPr>
        <xdr:cNvPr id="35" name="Group 34"/>
        <xdr:cNvGrpSpPr/>
      </xdr:nvGrpSpPr>
      <xdr:grpSpPr>
        <a:xfrm>
          <a:off x="8177005" y="318507"/>
          <a:ext cx="961810" cy="579569"/>
          <a:chOff x="1778000" y="736600"/>
          <a:chExt cx="1536700" cy="838200"/>
        </a:xfrm>
      </xdr:grpSpPr>
      <xdr:sp macro="" textlink="Pivot_table_analysis!M17">
        <xdr:nvSpPr>
          <xdr:cNvPr id="36" name="Rectangle 35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6D76FDC4-A75A-4F2D-BC9E-87030E2BBEFA}" type="TxLink"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14479234</a:t>
            </a:fld>
            <a:endParaRPr lang="en-US" sz="12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37" name="Rounded Rectangle 36"/>
          <xdr:cNvSpPr/>
        </xdr:nvSpPr>
        <xdr:spPr>
          <a:xfrm>
            <a:off x="1866900" y="787399"/>
            <a:ext cx="1352548" cy="474773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DIFFERENCE_&amp;_</a:t>
            </a:r>
          </a:p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SAVING</a:t>
            </a:r>
          </a:p>
        </xdr:txBody>
      </xdr:sp>
    </xdr:grpSp>
    <xdr:clientData/>
  </xdr:twoCellAnchor>
  <xdr:twoCellAnchor>
    <xdr:from>
      <xdr:col>15</xdr:col>
      <xdr:colOff>25678</xdr:colOff>
      <xdr:row>1</xdr:row>
      <xdr:rowOff>140528</xdr:rowOff>
    </xdr:from>
    <xdr:to>
      <xdr:col>16</xdr:col>
      <xdr:colOff>378407</xdr:colOff>
      <xdr:row>4</xdr:row>
      <xdr:rowOff>175812</xdr:rowOff>
    </xdr:to>
    <xdr:grpSp>
      <xdr:nvGrpSpPr>
        <xdr:cNvPr id="41" name="Group 40"/>
        <xdr:cNvGrpSpPr/>
      </xdr:nvGrpSpPr>
      <xdr:grpSpPr>
        <a:xfrm>
          <a:off x="10205117" y="321957"/>
          <a:ext cx="961810" cy="579569"/>
          <a:chOff x="1778000" y="736600"/>
          <a:chExt cx="1536700" cy="838200"/>
        </a:xfrm>
      </xdr:grpSpPr>
      <xdr:sp macro="" textlink="">
        <xdr:nvSpPr>
          <xdr:cNvPr id="42" name="Rectangle 41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en-US" sz="14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t>GOOD</a:t>
            </a:r>
            <a:endParaRPr lang="en-US" sz="20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43" name="Rounded Rectangle 42"/>
          <xdr:cNvSpPr/>
        </xdr:nvSpPr>
        <xdr:spPr>
          <a:xfrm>
            <a:off x="1866900" y="787400"/>
            <a:ext cx="1352550" cy="451856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EXPENSE</a:t>
            </a:r>
          </a:p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PERFORMANCE</a:t>
            </a:r>
          </a:p>
        </xdr:txBody>
      </xdr:sp>
    </xdr:grpSp>
    <xdr:clientData/>
  </xdr:twoCellAnchor>
  <xdr:twoCellAnchor>
    <xdr:from>
      <xdr:col>16</xdr:col>
      <xdr:colOff>436221</xdr:colOff>
      <xdr:row>1</xdr:row>
      <xdr:rowOff>141079</xdr:rowOff>
    </xdr:from>
    <xdr:to>
      <xdr:col>18</xdr:col>
      <xdr:colOff>347210</xdr:colOff>
      <xdr:row>4</xdr:row>
      <xdr:rowOff>176363</xdr:rowOff>
    </xdr:to>
    <xdr:grpSp>
      <xdr:nvGrpSpPr>
        <xdr:cNvPr id="47" name="Group 46"/>
        <xdr:cNvGrpSpPr/>
      </xdr:nvGrpSpPr>
      <xdr:grpSpPr>
        <a:xfrm>
          <a:off x="11224741" y="322508"/>
          <a:ext cx="967163" cy="579569"/>
          <a:chOff x="1778000" y="736600"/>
          <a:chExt cx="1536700" cy="838200"/>
        </a:xfrm>
      </xdr:grpSpPr>
      <xdr:sp macro="" textlink="">
        <xdr:nvSpPr>
          <xdr:cNvPr id="48" name="Rectangle 47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en-US" sz="14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t>WEST</a:t>
            </a:r>
          </a:p>
        </xdr:txBody>
      </xdr:sp>
      <xdr:sp macro="" textlink="">
        <xdr:nvSpPr>
          <xdr:cNvPr id="49" name="Rounded Rectangle 48"/>
          <xdr:cNvSpPr/>
        </xdr:nvSpPr>
        <xdr:spPr>
          <a:xfrm>
            <a:off x="1866900" y="787400"/>
            <a:ext cx="1352550" cy="441343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HIGHEST_REVANUE_BY_REGION</a:t>
            </a:r>
          </a:p>
        </xdr:txBody>
      </xdr:sp>
    </xdr:grpSp>
    <xdr:clientData/>
  </xdr:twoCellAnchor>
  <xdr:twoCellAnchor>
    <xdr:from>
      <xdr:col>0</xdr:col>
      <xdr:colOff>0</xdr:colOff>
      <xdr:row>10</xdr:row>
      <xdr:rowOff>55216</xdr:rowOff>
    </xdr:from>
    <xdr:to>
      <xdr:col>4</xdr:col>
      <xdr:colOff>291581</xdr:colOff>
      <xdr:row>21</xdr:row>
      <xdr:rowOff>151846</xdr:rowOff>
    </xdr:to>
    <xdr:grpSp>
      <xdr:nvGrpSpPr>
        <xdr:cNvPr id="90" name="Group 89"/>
        <xdr:cNvGrpSpPr/>
      </xdr:nvGrpSpPr>
      <xdr:grpSpPr>
        <a:xfrm>
          <a:off x="0" y="1869502"/>
          <a:ext cx="2727908" cy="2092344"/>
          <a:chOff x="0" y="1869502"/>
          <a:chExt cx="2727908" cy="2092344"/>
        </a:xfrm>
      </xdr:grpSpPr>
      <xdr:graphicFrame macro="">
        <xdr:nvGraphicFramePr>
          <xdr:cNvPr id="2" name="Chart 1"/>
          <xdr:cNvGraphicFramePr>
            <a:graphicFrameLocks/>
          </xdr:cNvGraphicFramePr>
        </xdr:nvGraphicFramePr>
        <xdr:xfrm>
          <a:off x="0" y="2084793"/>
          <a:ext cx="2726185" cy="18770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5" name="Rectangle 24"/>
          <xdr:cNvSpPr/>
        </xdr:nvSpPr>
        <xdr:spPr>
          <a:xfrm>
            <a:off x="0" y="1869502"/>
            <a:ext cx="2727908" cy="229886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chemeClr val="accent4">
                    <a:lumMod val="40000"/>
                    <a:lumOff val="60000"/>
                  </a:schemeClr>
                </a:solidFill>
              </a:rPr>
              <a:t>REVENUE_CHART</a:t>
            </a:r>
          </a:p>
        </xdr:txBody>
      </xdr:sp>
    </xdr:grpSp>
    <xdr:clientData/>
  </xdr:twoCellAnchor>
  <xdr:twoCellAnchor>
    <xdr:from>
      <xdr:col>4</xdr:col>
      <xdr:colOff>330241</xdr:colOff>
      <xdr:row>10</xdr:row>
      <xdr:rowOff>59788</xdr:rowOff>
    </xdr:from>
    <xdr:to>
      <xdr:col>8</xdr:col>
      <xdr:colOff>531326</xdr:colOff>
      <xdr:row>21</xdr:row>
      <xdr:rowOff>168469</xdr:rowOff>
    </xdr:to>
    <xdr:grpSp>
      <xdr:nvGrpSpPr>
        <xdr:cNvPr id="91" name="Group 90"/>
        <xdr:cNvGrpSpPr/>
      </xdr:nvGrpSpPr>
      <xdr:grpSpPr>
        <a:xfrm>
          <a:off x="2766568" y="1874074"/>
          <a:ext cx="2637411" cy="2104395"/>
          <a:chOff x="2766568" y="1874074"/>
          <a:chExt cx="2637411" cy="2104395"/>
        </a:xfrm>
      </xdr:grpSpPr>
      <xdr:graphicFrame macro="">
        <xdr:nvGraphicFramePr>
          <xdr:cNvPr id="4" name="Chart 3"/>
          <xdr:cNvGraphicFramePr>
            <a:graphicFrameLocks/>
          </xdr:cNvGraphicFramePr>
        </xdr:nvGraphicFramePr>
        <xdr:xfrm>
          <a:off x="2766568" y="2108321"/>
          <a:ext cx="2637402" cy="18701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6" name="Rectangle 45"/>
          <xdr:cNvSpPr/>
        </xdr:nvSpPr>
        <xdr:spPr>
          <a:xfrm>
            <a:off x="2773264" y="1874074"/>
            <a:ext cx="2630715" cy="225313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chemeClr val="accent4">
                    <a:lumMod val="40000"/>
                    <a:lumOff val="60000"/>
                  </a:schemeClr>
                </a:solidFill>
              </a:rPr>
              <a:t>SALES_CATEGORY</a:t>
            </a:r>
          </a:p>
        </xdr:txBody>
      </xdr:sp>
    </xdr:grpSp>
    <xdr:clientData/>
  </xdr:twoCellAnchor>
  <xdr:twoCellAnchor>
    <xdr:from>
      <xdr:col>0</xdr:col>
      <xdr:colOff>12963</xdr:colOff>
      <xdr:row>21</xdr:row>
      <xdr:rowOff>150516</xdr:rowOff>
    </xdr:from>
    <xdr:to>
      <xdr:col>8</xdr:col>
      <xdr:colOff>531327</xdr:colOff>
      <xdr:row>33</xdr:row>
      <xdr:rowOff>64798</xdr:rowOff>
    </xdr:to>
    <xdr:grpSp>
      <xdr:nvGrpSpPr>
        <xdr:cNvPr id="92" name="Group 91"/>
        <xdr:cNvGrpSpPr/>
      </xdr:nvGrpSpPr>
      <xdr:grpSpPr>
        <a:xfrm>
          <a:off x="12963" y="3960516"/>
          <a:ext cx="5391017" cy="2091425"/>
          <a:chOff x="5449337" y="1867604"/>
          <a:chExt cx="3414745" cy="2091425"/>
        </a:xfrm>
      </xdr:grpSpPr>
      <xdr:graphicFrame macro="">
        <xdr:nvGraphicFramePr>
          <xdr:cNvPr id="3" name="Chart 2"/>
          <xdr:cNvGraphicFramePr>
            <a:graphicFrameLocks/>
          </xdr:cNvGraphicFramePr>
        </xdr:nvGraphicFramePr>
        <xdr:xfrm>
          <a:off x="5449337" y="2079948"/>
          <a:ext cx="3414745" cy="18790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0" name="Rectangle 49"/>
          <xdr:cNvSpPr/>
        </xdr:nvSpPr>
        <xdr:spPr>
          <a:xfrm>
            <a:off x="5456510" y="1867604"/>
            <a:ext cx="3407572" cy="212341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chemeClr val="accent4">
                    <a:lumMod val="40000"/>
                    <a:lumOff val="60000"/>
                  </a:schemeClr>
                </a:solidFill>
              </a:rPr>
              <a:t>EXPENSE_CHART</a:t>
            </a:r>
          </a:p>
        </xdr:txBody>
      </xdr:sp>
    </xdr:grpSp>
    <xdr:clientData/>
  </xdr:twoCellAnchor>
  <xdr:twoCellAnchor>
    <xdr:from>
      <xdr:col>0</xdr:col>
      <xdr:colOff>38100</xdr:colOff>
      <xdr:row>6</xdr:row>
      <xdr:rowOff>116789</xdr:rowOff>
    </xdr:from>
    <xdr:to>
      <xdr:col>18</xdr:col>
      <xdr:colOff>596900</xdr:colOff>
      <xdr:row>6</xdr:row>
      <xdr:rowOff>116789</xdr:rowOff>
    </xdr:to>
    <xdr:cxnSp macro="">
      <xdr:nvCxnSpPr>
        <xdr:cNvPr id="44" name="Straight Connector 43"/>
        <xdr:cNvCxnSpPr/>
      </xdr:nvCxnSpPr>
      <xdr:spPr>
        <a:xfrm>
          <a:off x="38100" y="1234941"/>
          <a:ext cx="1237532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741012</xdr:colOff>
      <xdr:row>6</xdr:row>
      <xdr:rowOff>163164</xdr:rowOff>
    </xdr:from>
    <xdr:to>
      <xdr:col>9</xdr:col>
      <xdr:colOff>819365</xdr:colOff>
      <xdr:row>10</xdr:row>
      <xdr:rowOff>12089</xdr:rowOff>
    </xdr:to>
    <xdr:grpSp>
      <xdr:nvGrpSpPr>
        <xdr:cNvPr id="52" name="Group 51"/>
        <xdr:cNvGrpSpPr/>
      </xdr:nvGrpSpPr>
      <xdr:grpSpPr>
        <a:xfrm>
          <a:off x="5613665" y="1251735"/>
          <a:ext cx="1050292" cy="574640"/>
          <a:chOff x="1778000" y="736600"/>
          <a:chExt cx="1536700" cy="838200"/>
        </a:xfrm>
      </xdr:grpSpPr>
      <xdr:sp macro="" textlink="Sheet2!G5">
        <xdr:nvSpPr>
          <xdr:cNvPr id="53" name="Rectangle 52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97E2E254-9A1A-4505-B2D6-FF9208C1561C}" type="TxLink"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17132436</a:t>
            </a:fld>
            <a:endParaRPr lang="en-US" sz="16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54" name="Rounded Rectangle 53"/>
          <xdr:cNvSpPr/>
        </xdr:nvSpPr>
        <xdr:spPr>
          <a:xfrm>
            <a:off x="1866900" y="787400"/>
            <a:ext cx="1352551" cy="351796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800" b="1" baseline="0">
                <a:solidFill>
                  <a:schemeClr val="accent1">
                    <a:lumMod val="75000"/>
                  </a:schemeClr>
                </a:solidFill>
              </a:rPr>
              <a:t>TOTAL_EXPENSE</a:t>
            </a:r>
            <a:endParaRPr lang="en-IN" sz="1050" b="1" baseline="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499993</xdr:colOff>
      <xdr:row>6</xdr:row>
      <xdr:rowOff>156812</xdr:rowOff>
    </xdr:from>
    <xdr:to>
      <xdr:col>3</xdr:col>
      <xdr:colOff>336770</xdr:colOff>
      <xdr:row>10</xdr:row>
      <xdr:rowOff>5737</xdr:rowOff>
    </xdr:to>
    <xdr:grpSp>
      <xdr:nvGrpSpPr>
        <xdr:cNvPr id="55" name="Group 54"/>
        <xdr:cNvGrpSpPr/>
      </xdr:nvGrpSpPr>
      <xdr:grpSpPr>
        <a:xfrm>
          <a:off x="1109075" y="1245383"/>
          <a:ext cx="1054940" cy="574640"/>
          <a:chOff x="1778000" y="736600"/>
          <a:chExt cx="1536700" cy="838200"/>
        </a:xfrm>
      </xdr:grpSpPr>
      <xdr:sp macro="" textlink="Sheet2!C3">
        <xdr:nvSpPr>
          <xdr:cNvPr id="56" name="Rectangle 55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57046D7E-308C-468B-9AB8-3354C962A75F}" type="TxLink">
              <a:rPr lang="en-US" sz="14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31611670</a:t>
            </a:fld>
            <a:endParaRPr lang="en-US" sz="18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57" name="Rounded Rectangle 56"/>
          <xdr:cNvSpPr/>
        </xdr:nvSpPr>
        <xdr:spPr>
          <a:xfrm>
            <a:off x="1866900" y="787400"/>
            <a:ext cx="1352551" cy="273143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BUDGET</a:t>
            </a:r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_EXPENSE</a:t>
            </a:r>
            <a:endParaRPr lang="en-IN" sz="800" b="1" baseline="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6</xdr:row>
      <xdr:rowOff>156262</xdr:rowOff>
    </xdr:from>
    <xdr:to>
      <xdr:col>1</xdr:col>
      <xdr:colOff>444169</xdr:colOff>
      <xdr:row>10</xdr:row>
      <xdr:rowOff>5187</xdr:rowOff>
    </xdr:to>
    <xdr:grpSp>
      <xdr:nvGrpSpPr>
        <xdr:cNvPr id="58" name="Group 57"/>
        <xdr:cNvGrpSpPr/>
      </xdr:nvGrpSpPr>
      <xdr:grpSpPr>
        <a:xfrm>
          <a:off x="0" y="1244833"/>
          <a:ext cx="1053251" cy="574640"/>
          <a:chOff x="1778000" y="736600"/>
          <a:chExt cx="1536700" cy="838200"/>
        </a:xfrm>
      </xdr:grpSpPr>
      <xdr:sp macro="" textlink="Sheet2!D3">
        <xdr:nvSpPr>
          <xdr:cNvPr id="59" name="Rectangle 58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1138810A-C7A2-4C42-8147-281731A9C764}" type="TxLink">
              <a:rPr lang="en-US" sz="14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52300532</a:t>
            </a:fld>
            <a:endParaRPr lang="en-US" sz="14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0" name="Rounded Rectangle 59"/>
          <xdr:cNvSpPr/>
        </xdr:nvSpPr>
        <xdr:spPr>
          <a:xfrm>
            <a:off x="1866900" y="787400"/>
            <a:ext cx="1352551" cy="283655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BUDGET</a:t>
            </a:r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_REVANUE</a:t>
            </a:r>
            <a:endParaRPr lang="en-IN" sz="800" b="1" baseline="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10</xdr:row>
      <xdr:rowOff>27609</xdr:rowOff>
    </xdr:from>
    <xdr:to>
      <xdr:col>12</xdr:col>
      <xdr:colOff>358913</xdr:colOff>
      <xdr:row>10</xdr:row>
      <xdr:rowOff>39753</xdr:rowOff>
    </xdr:to>
    <xdr:cxnSp macro="">
      <xdr:nvCxnSpPr>
        <xdr:cNvPr id="61" name="Straight Connector 60"/>
        <xdr:cNvCxnSpPr/>
      </xdr:nvCxnSpPr>
      <xdr:spPr>
        <a:xfrm flipV="1">
          <a:off x="0" y="1891196"/>
          <a:ext cx="8952120" cy="121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</xdr:colOff>
      <xdr:row>5</xdr:row>
      <xdr:rowOff>59357</xdr:rowOff>
    </xdr:from>
    <xdr:to>
      <xdr:col>7</xdr:col>
      <xdr:colOff>124239</xdr:colOff>
      <xdr:row>6</xdr:row>
      <xdr:rowOff>103533</xdr:rowOff>
    </xdr:to>
    <xdr:sp macro="" textlink="">
      <xdr:nvSpPr>
        <xdr:cNvPr id="62" name="Rounded Rectangle 61"/>
        <xdr:cNvSpPr/>
      </xdr:nvSpPr>
      <xdr:spPr>
        <a:xfrm>
          <a:off x="12700" y="991150"/>
          <a:ext cx="4363278" cy="23053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accent1">
                  <a:lumMod val="50000"/>
                </a:schemeClr>
              </a:solidFill>
            </a:rPr>
            <a:t>BUDGET_&amp;_PLANNED</a:t>
          </a:r>
        </a:p>
      </xdr:txBody>
    </xdr:sp>
    <xdr:clientData/>
  </xdr:twoCellAnchor>
  <xdr:twoCellAnchor>
    <xdr:from>
      <xdr:col>3</xdr:col>
      <xdr:colOff>392597</xdr:colOff>
      <xdr:row>6</xdr:row>
      <xdr:rowOff>156819</xdr:rowOff>
    </xdr:from>
    <xdr:to>
      <xdr:col>5</xdr:col>
      <xdr:colOff>229374</xdr:colOff>
      <xdr:row>10</xdr:row>
      <xdr:rowOff>5744</xdr:rowOff>
    </xdr:to>
    <xdr:grpSp>
      <xdr:nvGrpSpPr>
        <xdr:cNvPr id="63" name="Group 62"/>
        <xdr:cNvGrpSpPr/>
      </xdr:nvGrpSpPr>
      <xdr:grpSpPr>
        <a:xfrm>
          <a:off x="2219842" y="1245390"/>
          <a:ext cx="1054940" cy="574640"/>
          <a:chOff x="1778000" y="736600"/>
          <a:chExt cx="1536700" cy="838200"/>
        </a:xfrm>
      </xdr:grpSpPr>
      <xdr:sp macro="" textlink="Pivot_table_analysis!E22">
        <xdr:nvSpPr>
          <xdr:cNvPr id="64" name="Rectangle 63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46E10A70-95A8-4CD9-8048-743519CE44BE}" type="TxLink">
              <a:rPr lang="en-US" sz="14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20688862</a:t>
            </a:fld>
            <a:endParaRPr lang="en-US" sz="24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5" name="Rounded Rectangle 64"/>
          <xdr:cNvSpPr/>
        </xdr:nvSpPr>
        <xdr:spPr>
          <a:xfrm>
            <a:off x="1866900" y="787400"/>
            <a:ext cx="1352551" cy="458085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>
                <a:solidFill>
                  <a:schemeClr val="accent1">
                    <a:lumMod val="75000"/>
                  </a:schemeClr>
                </a:solidFill>
              </a:rPr>
              <a:t>BUDGET</a:t>
            </a:r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_PROFIT EBITDA</a:t>
            </a:r>
          </a:p>
        </xdr:txBody>
      </xdr:sp>
    </xdr:grpSp>
    <xdr:clientData/>
  </xdr:twoCellAnchor>
  <xdr:twoCellAnchor>
    <xdr:from>
      <xdr:col>5</xdr:col>
      <xdr:colOff>284646</xdr:colOff>
      <xdr:row>6</xdr:row>
      <xdr:rowOff>156819</xdr:rowOff>
    </xdr:from>
    <xdr:to>
      <xdr:col>7</xdr:col>
      <xdr:colOff>121424</xdr:colOff>
      <xdr:row>10</xdr:row>
      <xdr:rowOff>5744</xdr:rowOff>
    </xdr:to>
    <xdr:grpSp>
      <xdr:nvGrpSpPr>
        <xdr:cNvPr id="66" name="Group 65"/>
        <xdr:cNvGrpSpPr/>
      </xdr:nvGrpSpPr>
      <xdr:grpSpPr>
        <a:xfrm>
          <a:off x="3330054" y="1245390"/>
          <a:ext cx="1054941" cy="574640"/>
          <a:chOff x="1778000" y="736600"/>
          <a:chExt cx="1536700" cy="838200"/>
        </a:xfrm>
      </xdr:grpSpPr>
      <xdr:sp macro="" textlink="Pivot_table_analysis!E23">
        <xdr:nvSpPr>
          <xdr:cNvPr id="67" name="Rectangle 66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6A42C82A-F7CA-4302-A557-B8FC9F11C033}" type="TxLink">
              <a:rPr lang="en-US" sz="20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40%</a:t>
            </a:fld>
            <a:endParaRPr lang="en-US" sz="44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68" name="Rounded Rectangle 67"/>
          <xdr:cNvSpPr/>
        </xdr:nvSpPr>
        <xdr:spPr>
          <a:xfrm>
            <a:off x="1866900" y="787400"/>
            <a:ext cx="1352551" cy="312077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BUDGET</a:t>
            </a:r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_PROFIT</a:t>
            </a:r>
            <a:r>
              <a:rPr lang="en-IN" sz="800" b="1" baseline="0">
                <a:solidFill>
                  <a:schemeClr val="accent1">
                    <a:lumMod val="75000"/>
                  </a:schemeClr>
                </a:solidFill>
              </a:rPr>
              <a:t> %</a:t>
            </a:r>
          </a:p>
        </xdr:txBody>
      </xdr:sp>
    </xdr:grpSp>
    <xdr:clientData/>
  </xdr:twoCellAnchor>
  <xdr:twoCellAnchor>
    <xdr:from>
      <xdr:col>7</xdr:col>
      <xdr:colOff>249305</xdr:colOff>
      <xdr:row>5</xdr:row>
      <xdr:rowOff>59360</xdr:rowOff>
    </xdr:from>
    <xdr:to>
      <xdr:col>12</xdr:col>
      <xdr:colOff>241576</xdr:colOff>
      <xdr:row>6</xdr:row>
      <xdr:rowOff>96630</xdr:rowOff>
    </xdr:to>
    <xdr:sp macro="" textlink="">
      <xdr:nvSpPr>
        <xdr:cNvPr id="69" name="Rounded Rectangle 68"/>
        <xdr:cNvSpPr/>
      </xdr:nvSpPr>
      <xdr:spPr>
        <a:xfrm>
          <a:off x="4501044" y="991153"/>
          <a:ext cx="4333739" cy="22362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accent1">
                  <a:lumMod val="50000"/>
                </a:schemeClr>
              </a:solidFill>
            </a:rPr>
            <a:t>ACTUAL_&amp;_REALITY</a:t>
          </a:r>
        </a:p>
      </xdr:txBody>
    </xdr:sp>
    <xdr:clientData/>
  </xdr:twoCellAnchor>
  <xdr:twoCellAnchor>
    <xdr:from>
      <xdr:col>7</xdr:col>
      <xdr:colOff>236605</xdr:colOff>
      <xdr:row>6</xdr:row>
      <xdr:rowOff>163164</xdr:rowOff>
    </xdr:from>
    <xdr:to>
      <xdr:col>8</xdr:col>
      <xdr:colOff>680774</xdr:colOff>
      <xdr:row>10</xdr:row>
      <xdr:rowOff>12089</xdr:rowOff>
    </xdr:to>
    <xdr:grpSp>
      <xdr:nvGrpSpPr>
        <xdr:cNvPr id="70" name="Group 69"/>
        <xdr:cNvGrpSpPr/>
      </xdr:nvGrpSpPr>
      <xdr:grpSpPr>
        <a:xfrm>
          <a:off x="4500176" y="1251735"/>
          <a:ext cx="1053251" cy="574640"/>
          <a:chOff x="69850" y="736600"/>
          <a:chExt cx="1536700" cy="838200"/>
        </a:xfrm>
      </xdr:grpSpPr>
      <xdr:sp macro="" textlink="Sheet2!A3">
        <xdr:nvSpPr>
          <xdr:cNvPr id="71" name="Rectangle 70"/>
          <xdr:cNvSpPr/>
        </xdr:nvSpPr>
        <xdr:spPr>
          <a:xfrm>
            <a:off x="6985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fld id="{E431F50C-57D8-40BB-8AB0-FFA00B0E920F}" type="TxLink">
              <a:rPr lang="en-US" sz="11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algn="ctr"/>
              <a:t>11817974.96</a:t>
            </a:fld>
            <a:endParaRPr lang="en-US" sz="11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72" name="Rounded Rectangle 71"/>
          <xdr:cNvSpPr/>
        </xdr:nvSpPr>
        <xdr:spPr>
          <a:xfrm>
            <a:off x="152400" y="774699"/>
            <a:ext cx="1352551" cy="325562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900" b="1">
                <a:solidFill>
                  <a:schemeClr val="accent1">
                    <a:lumMod val="75000"/>
                  </a:schemeClr>
                </a:solidFill>
              </a:rPr>
              <a:t>TOTAL_SALES</a:t>
            </a:r>
            <a:r>
              <a:rPr lang="en-IN" sz="1000" b="1">
                <a:solidFill>
                  <a:schemeClr val="accent1">
                    <a:lumMod val="75000"/>
                  </a:schemeClr>
                </a:solidFill>
              </a:rPr>
              <a:t> </a:t>
            </a:r>
          </a:p>
        </xdr:txBody>
      </xdr:sp>
    </xdr:grpSp>
    <xdr:clientData/>
  </xdr:twoCellAnchor>
  <xdr:twoCellAnchor>
    <xdr:from>
      <xdr:col>7</xdr:col>
      <xdr:colOff>181429</xdr:colOff>
      <xdr:row>5</xdr:row>
      <xdr:rowOff>33958</xdr:rowOff>
    </xdr:from>
    <xdr:to>
      <xdr:col>7</xdr:col>
      <xdr:colOff>185254</xdr:colOff>
      <xdr:row>10</xdr:row>
      <xdr:rowOff>12959</xdr:rowOff>
    </xdr:to>
    <xdr:cxnSp macro="">
      <xdr:nvCxnSpPr>
        <xdr:cNvPr id="73" name="Straight Connector 72"/>
        <xdr:cNvCxnSpPr/>
      </xdr:nvCxnSpPr>
      <xdr:spPr>
        <a:xfrm flipH="1">
          <a:off x="4445000" y="941101"/>
          <a:ext cx="3825" cy="88614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885684</xdr:colOff>
      <xdr:row>6</xdr:row>
      <xdr:rowOff>163167</xdr:rowOff>
    </xdr:from>
    <xdr:to>
      <xdr:col>10</xdr:col>
      <xdr:colOff>391157</xdr:colOff>
      <xdr:row>10</xdr:row>
      <xdr:rowOff>12092</xdr:rowOff>
    </xdr:to>
    <xdr:grpSp>
      <xdr:nvGrpSpPr>
        <xdr:cNvPr id="74" name="Group 73"/>
        <xdr:cNvGrpSpPr/>
      </xdr:nvGrpSpPr>
      <xdr:grpSpPr>
        <a:xfrm>
          <a:off x="6730276" y="1251738"/>
          <a:ext cx="1054095" cy="574640"/>
          <a:chOff x="1778000" y="736600"/>
          <a:chExt cx="1536700" cy="838200"/>
        </a:xfrm>
      </xdr:grpSpPr>
      <xdr:sp macro="" textlink="Pivot_table_analysis!H22">
        <xdr:nvSpPr>
          <xdr:cNvPr id="75" name="Rectangle 74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FB9F587E-64FF-4A7B-AA84-1422C11CFBEA}" type="TxLink"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5314461.04</a:t>
            </a:fld>
            <a:endParaRPr lang="en-US" sz="20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76" name="Rounded Rectangle 75"/>
          <xdr:cNvSpPr/>
        </xdr:nvSpPr>
        <xdr:spPr>
          <a:xfrm>
            <a:off x="1866900" y="787400"/>
            <a:ext cx="1352551" cy="410196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TOTAL_LOSS_EBITDA</a:t>
            </a:r>
          </a:p>
        </xdr:txBody>
      </xdr:sp>
    </xdr:grpSp>
    <xdr:clientData/>
  </xdr:twoCellAnchor>
  <xdr:twoCellAnchor>
    <xdr:from>
      <xdr:col>10</xdr:col>
      <xdr:colOff>448359</xdr:colOff>
      <xdr:row>6</xdr:row>
      <xdr:rowOff>164264</xdr:rowOff>
    </xdr:from>
    <xdr:to>
      <xdr:col>12</xdr:col>
      <xdr:colOff>285136</xdr:colOff>
      <xdr:row>10</xdr:row>
      <xdr:rowOff>13189</xdr:rowOff>
    </xdr:to>
    <xdr:grpSp>
      <xdr:nvGrpSpPr>
        <xdr:cNvPr id="77" name="Group 76"/>
        <xdr:cNvGrpSpPr/>
      </xdr:nvGrpSpPr>
      <xdr:grpSpPr>
        <a:xfrm>
          <a:off x="7841573" y="1252835"/>
          <a:ext cx="1054941" cy="574640"/>
          <a:chOff x="1778000" y="736600"/>
          <a:chExt cx="1536700" cy="838200"/>
        </a:xfrm>
      </xdr:grpSpPr>
      <xdr:sp macro="" textlink="">
        <xdr:nvSpPr>
          <xdr:cNvPr id="78" name="Rectangle 77"/>
          <xdr:cNvSpPr/>
        </xdr:nvSpPr>
        <xdr:spPr>
          <a:xfrm>
            <a:off x="1778000" y="736600"/>
            <a:ext cx="1536700" cy="83820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en-US" sz="12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t>LOW_SALES</a:t>
            </a:r>
          </a:p>
        </xdr:txBody>
      </xdr:sp>
      <xdr:sp macro="" textlink="">
        <xdr:nvSpPr>
          <xdr:cNvPr id="79" name="Rounded Rectangle 78"/>
          <xdr:cNvSpPr/>
        </xdr:nvSpPr>
        <xdr:spPr>
          <a:xfrm>
            <a:off x="1866900" y="787400"/>
            <a:ext cx="1352551" cy="359979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900" b="1" baseline="0">
                <a:solidFill>
                  <a:schemeClr val="accent1">
                    <a:lumMod val="75000"/>
                  </a:schemeClr>
                </a:solidFill>
              </a:rPr>
              <a:t>LOSS_REASON</a:t>
            </a:r>
            <a:endParaRPr lang="en-IN" sz="1200" b="1" baseline="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443043</xdr:colOff>
      <xdr:row>1</xdr:row>
      <xdr:rowOff>133653</xdr:rowOff>
    </xdr:from>
    <xdr:to>
      <xdr:col>3</xdr:col>
      <xdr:colOff>188380</xdr:colOff>
      <xdr:row>4</xdr:row>
      <xdr:rowOff>168937</xdr:rowOff>
    </xdr:to>
    <xdr:grpSp>
      <xdr:nvGrpSpPr>
        <xdr:cNvPr id="81" name="Group 80"/>
        <xdr:cNvGrpSpPr/>
      </xdr:nvGrpSpPr>
      <xdr:grpSpPr>
        <a:xfrm>
          <a:off x="1052125" y="315082"/>
          <a:ext cx="963500" cy="579569"/>
          <a:chOff x="2582983" y="352665"/>
          <a:chExt cx="903167" cy="520210"/>
        </a:xfrm>
      </xdr:grpSpPr>
      <xdr:sp macro="" textlink="Sheet2!D3">
        <xdr:nvSpPr>
          <xdr:cNvPr id="83" name="Rectangle 82"/>
          <xdr:cNvSpPr/>
        </xdr:nvSpPr>
        <xdr:spPr>
          <a:xfrm>
            <a:off x="2582983" y="352665"/>
            <a:ext cx="903167" cy="52021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fld id="{D171B70F-7A6C-43AF-A3A5-F495EEDEB540}" type="TxLink">
              <a:rPr lang="en-US" sz="11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algn="ctr"/>
              <a:t>52300532</a:t>
            </a:fld>
            <a:endParaRPr lang="en-US" sz="105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1" name="Rounded Rectangle 10"/>
          <xdr:cNvSpPr/>
        </xdr:nvSpPr>
        <xdr:spPr>
          <a:xfrm>
            <a:off x="2602235" y="386316"/>
            <a:ext cx="847525" cy="187628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700" b="1">
                <a:solidFill>
                  <a:schemeClr val="accent1">
                    <a:lumMod val="75000"/>
                  </a:schemeClr>
                </a:solidFill>
              </a:rPr>
              <a:t>B</a:t>
            </a:r>
            <a:r>
              <a:rPr lang="en-IN" sz="600" b="1">
                <a:solidFill>
                  <a:schemeClr val="accent1">
                    <a:lumMod val="75000"/>
                  </a:schemeClr>
                </a:solidFill>
              </a:rPr>
              <a:t>UDGET</a:t>
            </a:r>
            <a:r>
              <a:rPr lang="en-IN" sz="600" b="1" baseline="0">
                <a:solidFill>
                  <a:schemeClr val="accent1">
                    <a:lumMod val="75000"/>
                  </a:schemeClr>
                </a:solidFill>
              </a:rPr>
              <a:t>_REVAN</a:t>
            </a:r>
            <a:r>
              <a:rPr lang="en-IN" sz="700" b="1" baseline="0">
                <a:solidFill>
                  <a:schemeClr val="accent1">
                    <a:lumMod val="75000"/>
                  </a:schemeClr>
                </a:solidFill>
              </a:rPr>
              <a:t>UE</a:t>
            </a:r>
          </a:p>
        </xdr:txBody>
      </xdr:sp>
    </xdr:grpSp>
    <xdr:clientData/>
  </xdr:twoCellAnchor>
  <xdr:twoCellAnchor>
    <xdr:from>
      <xdr:col>3</xdr:col>
      <xdr:colOff>245345</xdr:colOff>
      <xdr:row>1</xdr:row>
      <xdr:rowOff>137076</xdr:rowOff>
    </xdr:from>
    <xdr:to>
      <xdr:col>4</xdr:col>
      <xdr:colOff>598074</xdr:colOff>
      <xdr:row>4</xdr:row>
      <xdr:rowOff>172360</xdr:rowOff>
    </xdr:to>
    <xdr:grpSp>
      <xdr:nvGrpSpPr>
        <xdr:cNvPr id="24" name="Group 23"/>
        <xdr:cNvGrpSpPr/>
      </xdr:nvGrpSpPr>
      <xdr:grpSpPr>
        <a:xfrm>
          <a:off x="2072590" y="318505"/>
          <a:ext cx="961811" cy="579569"/>
          <a:chOff x="2067519" y="323435"/>
          <a:chExt cx="960120" cy="594360"/>
        </a:xfrm>
      </xdr:grpSpPr>
      <xdr:sp macro="" textlink="Pivot_table_analysis!M8">
        <xdr:nvSpPr>
          <xdr:cNvPr id="23" name="Rectangle 22"/>
          <xdr:cNvSpPr/>
        </xdr:nvSpPr>
        <xdr:spPr>
          <a:xfrm>
            <a:off x="2067519" y="323435"/>
            <a:ext cx="960120" cy="59436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234FAFDA-8126-42E1-8456-07B5EA2F3A13}" type="TxLink">
              <a:rPr lang="en-US" sz="10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40482557.04</a:t>
            </a:fld>
            <a:endParaRPr lang="en-US" sz="14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85" name="Rounded Rectangle 84"/>
          <xdr:cNvSpPr/>
        </xdr:nvSpPr>
        <xdr:spPr>
          <a:xfrm>
            <a:off x="2143124" y="349092"/>
            <a:ext cx="851622" cy="336083"/>
          </a:xfrm>
          <a:prstGeom prst="roundRect">
            <a:avLst/>
          </a:prstGeom>
          <a:noFill/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600" b="1">
                <a:solidFill>
                  <a:schemeClr val="accent1">
                    <a:lumMod val="75000"/>
                  </a:schemeClr>
                </a:solidFill>
              </a:rPr>
              <a:t>AWAY_FROM</a:t>
            </a:r>
          </a:p>
          <a:p>
            <a:pPr algn="ctr"/>
            <a:r>
              <a:rPr lang="en-IN" sz="600" b="1">
                <a:solidFill>
                  <a:schemeClr val="accent1">
                    <a:lumMod val="75000"/>
                  </a:schemeClr>
                </a:solidFill>
              </a:rPr>
              <a:t>TARGET</a:t>
            </a:r>
          </a:p>
        </xdr:txBody>
      </xdr:sp>
    </xdr:grpSp>
    <xdr:clientData/>
  </xdr:twoCellAnchor>
  <xdr:twoCellAnchor>
    <xdr:from>
      <xdr:col>12</xdr:col>
      <xdr:colOff>579505</xdr:colOff>
      <xdr:row>1</xdr:row>
      <xdr:rowOff>134730</xdr:rowOff>
    </xdr:from>
    <xdr:to>
      <xdr:col>14</xdr:col>
      <xdr:colOff>324843</xdr:colOff>
      <xdr:row>4</xdr:row>
      <xdr:rowOff>170014</xdr:rowOff>
    </xdr:to>
    <xdr:grpSp>
      <xdr:nvGrpSpPr>
        <xdr:cNvPr id="22" name="Group 21"/>
        <xdr:cNvGrpSpPr/>
      </xdr:nvGrpSpPr>
      <xdr:grpSpPr>
        <a:xfrm>
          <a:off x="9190883" y="316159"/>
          <a:ext cx="963501" cy="579569"/>
          <a:chOff x="6121951" y="1473752"/>
          <a:chExt cx="960120" cy="594360"/>
        </a:xfrm>
      </xdr:grpSpPr>
      <xdr:sp macro="" textlink="Pivot_table_analysis!O17">
        <xdr:nvSpPr>
          <xdr:cNvPr id="39" name="Rectangle 38"/>
          <xdr:cNvSpPr/>
        </xdr:nvSpPr>
        <xdr:spPr>
          <a:xfrm>
            <a:off x="6121951" y="1473752"/>
            <a:ext cx="960120" cy="594360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marL="0" indent="0" algn="ctr"/>
            <a:fld id="{EC47DC1D-B9A7-400D-B26D-65D645B78C6E}" type="TxLink">
              <a:rPr lang="en-US" sz="1600" b="1" i="0" u="none" strike="noStrike" cap="none" spc="0">
                <a:ln w="0"/>
                <a:solidFill>
                  <a:srgbClr val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ea typeface="Calibri"/>
                <a:cs typeface="Calibri"/>
              </a:rPr>
              <a:pPr marL="0" indent="0" algn="ctr"/>
              <a:t>46%</a:t>
            </a:fld>
            <a:endParaRPr lang="en-US" sz="2800" b="1" i="0" u="none" strike="noStrike" cap="none" spc="0">
              <a:ln w="0"/>
              <a:solidFill>
                <a:srgbClr val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0" name="TextBox 9"/>
          <xdr:cNvSpPr txBox="1"/>
        </xdr:nvSpPr>
        <xdr:spPr>
          <a:xfrm>
            <a:off x="6239565" y="1490870"/>
            <a:ext cx="752338" cy="310597"/>
          </a:xfrm>
          <a:prstGeom prst="roundRect">
            <a:avLst/>
          </a:prstGeom>
          <a:noFill/>
          <a:ln w="12700" cmpd="sng">
            <a:solidFill>
              <a:schemeClr val="accent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en-IN" sz="500" b="1">
                <a:solidFill>
                  <a:schemeClr val="accent1">
                    <a:lumMod val="75000"/>
                  </a:schemeClr>
                </a:solidFill>
              </a:rPr>
              <a:t>DIFFERENCE</a:t>
            </a:r>
            <a:r>
              <a:rPr lang="en-IN" sz="500" b="1" baseline="0">
                <a:solidFill>
                  <a:schemeClr val="accent1">
                    <a:lumMod val="75000"/>
                  </a:schemeClr>
                </a:solidFill>
              </a:rPr>
              <a:t> &amp; SAVING %</a:t>
            </a:r>
          </a:p>
          <a:p>
            <a:endParaRPr lang="en-IN" sz="600"/>
          </a:p>
        </xdr:txBody>
      </xdr:sp>
    </xdr:grpSp>
    <xdr:clientData/>
  </xdr:twoCellAnchor>
  <xdr:twoCellAnchor>
    <xdr:from>
      <xdr:col>12</xdr:col>
      <xdr:colOff>272142</xdr:colOff>
      <xdr:row>5</xdr:row>
      <xdr:rowOff>27609</xdr:rowOff>
    </xdr:from>
    <xdr:to>
      <xdr:col>12</xdr:col>
      <xdr:colOff>296794</xdr:colOff>
      <xdr:row>33</xdr:row>
      <xdr:rowOff>71275</xdr:rowOff>
    </xdr:to>
    <xdr:cxnSp macro="">
      <xdr:nvCxnSpPr>
        <xdr:cNvPr id="86" name="Straight Connector 85"/>
        <xdr:cNvCxnSpPr/>
      </xdr:nvCxnSpPr>
      <xdr:spPr>
        <a:xfrm flipH="1">
          <a:off x="8883520" y="934752"/>
          <a:ext cx="24652" cy="512366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323972</xdr:colOff>
      <xdr:row>5</xdr:row>
      <xdr:rowOff>58318</xdr:rowOff>
    </xdr:from>
    <xdr:to>
      <xdr:col>18</xdr:col>
      <xdr:colOff>570197</xdr:colOff>
      <xdr:row>6</xdr:row>
      <xdr:rowOff>90717</xdr:rowOff>
    </xdr:to>
    <xdr:sp macro="" textlink="">
      <xdr:nvSpPr>
        <xdr:cNvPr id="94" name="Rectangle 93"/>
        <xdr:cNvSpPr/>
      </xdr:nvSpPr>
      <xdr:spPr>
        <a:xfrm>
          <a:off x="8935350" y="965461"/>
          <a:ext cx="3479541" cy="213827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</a:rPr>
            <a:t>TOP_CUSTOMERS_BY</a:t>
          </a:r>
          <a:r>
            <a:rPr lang="en-IN" sz="1200" b="1" baseline="0">
              <a:solidFill>
                <a:schemeClr val="accent4">
                  <a:lumMod val="40000"/>
                  <a:lumOff val="60000"/>
                </a:schemeClr>
              </a:solidFill>
            </a:rPr>
            <a:t>_REVENUE</a:t>
          </a:r>
          <a:endParaRPr lang="en-IN" sz="1200" b="1">
            <a:solidFill>
              <a:schemeClr val="accent4">
                <a:lumMod val="40000"/>
                <a:lumOff val="60000"/>
              </a:schemeClr>
            </a:solidFill>
          </a:endParaRPr>
        </a:p>
      </xdr:txBody>
    </xdr:sp>
    <xdr:clientData/>
  </xdr:twoCellAnchor>
  <xdr:twoCellAnchor>
    <xdr:from>
      <xdr:col>12</xdr:col>
      <xdr:colOff>317499</xdr:colOff>
      <xdr:row>8</xdr:row>
      <xdr:rowOff>1</xdr:rowOff>
    </xdr:from>
    <xdr:to>
      <xdr:col>18</xdr:col>
      <xdr:colOff>596122</xdr:colOff>
      <xdr:row>22</xdr:row>
      <xdr:rowOff>175339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375812</xdr:colOff>
      <xdr:row>6</xdr:row>
      <xdr:rowOff>123113</xdr:rowOff>
    </xdr:from>
    <xdr:to>
      <xdr:col>15</xdr:col>
      <xdr:colOff>408214</xdr:colOff>
      <xdr:row>7</xdr:row>
      <xdr:rowOff>174949</xdr:rowOff>
    </xdr:to>
    <xdr:sp macro="" textlink="$S$39">
      <xdr:nvSpPr>
        <xdr:cNvPr id="96" name="Rounded Rectangle 95"/>
        <xdr:cNvSpPr/>
      </xdr:nvSpPr>
      <xdr:spPr>
        <a:xfrm>
          <a:off x="8987190" y="1211684"/>
          <a:ext cx="1600463" cy="23326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E99934AD-26F3-43DD-B2DB-0CF3530FC4B8}" type="TxLink">
            <a:rPr lang="en-US" sz="2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en-IN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444500</xdr:colOff>
          <xdr:row>6</xdr:row>
          <xdr:rowOff>120650</xdr:rowOff>
        </xdr:from>
        <xdr:to>
          <xdr:col>17</xdr:col>
          <xdr:colOff>336550</xdr:colOff>
          <xdr:row>7</xdr:row>
          <xdr:rowOff>158750</xdr:rowOff>
        </xdr:to>
        <xdr:sp macro="" textlink="">
          <xdr:nvSpPr>
            <xdr:cNvPr id="1030" name="Spin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570205</xdr:colOff>
      <xdr:row>10</xdr:row>
      <xdr:rowOff>51836</xdr:rowOff>
    </xdr:from>
    <xdr:to>
      <xdr:col>12</xdr:col>
      <xdr:colOff>265664</xdr:colOff>
      <xdr:row>11</xdr:row>
      <xdr:rowOff>110153</xdr:rowOff>
    </xdr:to>
    <xdr:sp macro="" textlink="">
      <xdr:nvSpPr>
        <xdr:cNvPr id="87" name="Rectangle 86"/>
        <xdr:cNvSpPr/>
      </xdr:nvSpPr>
      <xdr:spPr>
        <a:xfrm>
          <a:off x="5442858" y="1866122"/>
          <a:ext cx="3434184" cy="23974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</a:rPr>
            <a:t>REGIONWISE_ORDERS</a:t>
          </a:r>
          <a:endParaRPr lang="en-IN" sz="2000" b="1">
            <a:solidFill>
              <a:schemeClr val="accent4">
                <a:lumMod val="40000"/>
                <a:lumOff val="60000"/>
              </a:schemeClr>
            </a:solidFill>
          </a:endParaRPr>
        </a:p>
      </xdr:txBody>
    </xdr:sp>
    <xdr:clientData/>
  </xdr:twoCellAnchor>
  <xdr:twoCellAnchor>
    <xdr:from>
      <xdr:col>8</xdr:col>
      <xdr:colOff>550766</xdr:colOff>
      <xdr:row>11</xdr:row>
      <xdr:rowOff>97193</xdr:rowOff>
    </xdr:from>
    <xdr:to>
      <xdr:col>12</xdr:col>
      <xdr:colOff>278622</xdr:colOff>
      <xdr:row>21</xdr:row>
      <xdr:rowOff>136071</xdr:rowOff>
    </xdr:to>
    <xdr:graphicFrame macro="">
      <xdr:nvGraphicFramePr>
        <xdr:cNvPr id="88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557245</xdr:colOff>
      <xdr:row>23</xdr:row>
      <xdr:rowOff>32398</xdr:rowOff>
    </xdr:from>
    <xdr:to>
      <xdr:col>12</xdr:col>
      <xdr:colOff>252704</xdr:colOff>
      <xdr:row>33</xdr:row>
      <xdr:rowOff>71275</xdr:rowOff>
    </xdr:to>
    <xdr:graphicFrame macro="">
      <xdr:nvGraphicFramePr>
        <xdr:cNvPr id="93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560615</xdr:colOff>
      <xdr:row>21</xdr:row>
      <xdr:rowOff>145920</xdr:rowOff>
    </xdr:from>
    <xdr:to>
      <xdr:col>12</xdr:col>
      <xdr:colOff>256074</xdr:colOff>
      <xdr:row>23</xdr:row>
      <xdr:rowOff>22808</xdr:rowOff>
    </xdr:to>
    <xdr:sp macro="" textlink="">
      <xdr:nvSpPr>
        <xdr:cNvPr id="97" name="Rectangle 96"/>
        <xdr:cNvSpPr/>
      </xdr:nvSpPr>
      <xdr:spPr>
        <a:xfrm>
          <a:off x="5433268" y="3955920"/>
          <a:ext cx="3434184" cy="23974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</a:rPr>
            <a:t>ACTUAL_SALES</a:t>
          </a:r>
          <a:r>
            <a:rPr lang="en-IN" sz="1200" b="1" baseline="0">
              <a:solidFill>
                <a:schemeClr val="accent4">
                  <a:lumMod val="40000"/>
                  <a:lumOff val="60000"/>
                </a:schemeClr>
              </a:solidFill>
            </a:rPr>
            <a:t> &amp; EXPENSE</a:t>
          </a:r>
          <a:endParaRPr lang="en-IN" sz="2000" b="1">
            <a:solidFill>
              <a:schemeClr val="accent4">
                <a:lumMod val="40000"/>
                <a:lumOff val="6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482600</xdr:colOff>
          <xdr:row>6</xdr:row>
          <xdr:rowOff>120650</xdr:rowOff>
        </xdr:from>
        <xdr:to>
          <xdr:col>18</xdr:col>
          <xdr:colOff>546100</xdr:colOff>
          <xdr:row>7</xdr:row>
          <xdr:rowOff>171450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0</xdr:rowOff>
    </xdr:from>
    <xdr:to>
      <xdr:col>14</xdr:col>
      <xdr:colOff>723900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25400" y="0"/>
          <a:ext cx="15170150" cy="1841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accent1">
                  <a:lumMod val="50000"/>
                </a:schemeClr>
              </a:solidFill>
            </a:rPr>
            <a:t>Pivot</a:t>
          </a:r>
          <a:r>
            <a:rPr lang="en-IN" sz="1200" b="1" baseline="0">
              <a:solidFill>
                <a:schemeClr val="accent1">
                  <a:lumMod val="50000"/>
                </a:schemeClr>
              </a:solidFill>
            </a:rPr>
            <a:t> Table</a:t>
          </a:r>
          <a:r>
            <a:rPr lang="en-IN" sz="1200" b="1">
              <a:solidFill>
                <a:schemeClr val="accent1">
                  <a:lumMod val="50000"/>
                </a:schemeClr>
              </a:solidFill>
            </a:rPr>
            <a:t> Analysis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HP" refreshedDate="46113.631451041663" backgroundQuery="1" createdVersion="6" refreshedVersion="6" minRefreshableVersion="3" recordCount="0" supportSubquery="1" supportAdvancedDrill="1">
  <cacheSource type="external" connectionId="6"/>
  <cacheFields count="1">
    <cacheField name="[Measures].[Sum of Amount]" caption="Sum of Amount" numFmtId="0" hierarchy="46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HP" refreshedDate="46113.631452430556" backgroundQuery="1" createdVersion="6" refreshedVersion="6" minRefreshableVersion="3" recordCount="0" supportSubquery="1" supportAdvancedDrill="1">
  <cacheSource type="external" connectionId="6"/>
  <cacheFields count="4">
    <cacheField name="[Measures].[Sum of Sales_Amount]" caption="Sum of Sales_Amount" numFmtId="0" hierarchy="43" level="32767"/>
    <cacheField name="[Measures].[Sum of Quantity]" caption="Sum of Quantity" numFmtId="0" hierarchy="41" level="32767"/>
    <cacheField name="[Measures].[Sum of Budget_Expense]" caption="Sum of Budget_Expense" numFmtId="0" hierarchy="45" level="32767"/>
    <cacheField name="[Measures].[Sum of Budget_Revenue]" caption="Sum of Budget_Revenue" numFmtId="0" hierarchy="44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HP" refreshedDate="46113.631454629627" backgroundQuery="1" createdVersion="6" refreshedVersion="6" minRefreshableVersion="3" recordCount="0" supportSubquery="1" supportAdvancedDrill="1">
  <cacheSource type="external" connectionId="6"/>
  <cacheFields count="2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Quantity]" caption="Sum of Quantity" numFmtId="0" hierarchy="41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HP" refreshedDate="46113.631455555558" backgroundQuery="1" createdVersion="6" refreshedVersion="6" minRefreshableVersion="3" recordCount="0" supportSubquery="1" supportAdvancedDrill="1">
  <cacheSource type="external" connectionId="6"/>
  <cacheFields count="2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Sales_Amount]" caption="Sum of Sales_Amount" numFmtId="0" hierarchy="43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HP" refreshedDate="46113.631457523152" backgroundQuery="1" createdVersion="6" refreshedVersion="6" minRefreshableVersion="3" recordCount="0" supportSubquery="1" supportAdvancedDrill="1">
  <cacheSource type="external" connectionId="6"/>
  <cacheFields count="3">
    <cacheField name="[Measures].[Sum of Sales_Amount]" caption="Sum of Sales_Amount" numFmtId="0" hierarchy="43" level="32767"/>
    <cacheField name="[Customer_Data].[Customer_Name].[Customer_Name]" caption="Customer_Name" numFmtId="0" hierarchy="11" level="1">
      <sharedItems count="5">
        <s v="Customer_10"/>
        <s v="Customer_120"/>
        <s v="Customer_177"/>
        <s v="Customer_72"/>
        <s v="Customer_95"/>
      </sharedItems>
    </cacheField>
    <cacheField name="[Sales_Data].[Category].[Category]" caption="Category" numFmtId="0" hierarchy="21" level="1">
      <sharedItems count="3">
        <s v="Electronics"/>
        <s v="Furniture"/>
        <s v="Office Supplies"/>
      </sharedItems>
    </cacheField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2" memberValueDatatype="130" unbalanced="0">
      <fieldsUsage count="2">
        <fieldUsage x="-1"/>
        <fieldUsage x="2"/>
      </fieldsUsage>
    </cacheHierarchy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HP" refreshedDate="46113.631458912037" backgroundQuery="1" createdVersion="6" refreshedVersion="6" minRefreshableVersion="3" recordCount="0" supportSubquery="1" supportAdvancedDrill="1">
  <cacheSource type="external" connectionId="6"/>
  <cacheFields count="3">
    <cacheField name="[Measures].[Sum of Sales_Amount]" caption="Sum of Sales_Amount" numFmtId="0" hierarchy="43" level="32767"/>
    <cacheField name="[Customer_Data].[Customer_Name].[Customer_Name]" caption="Customer_Name" numFmtId="0" hierarchy="11" level="1">
      <sharedItems count="5">
        <s v="Customer_10"/>
        <s v="Customer_120"/>
        <s v="Customer_177"/>
        <s v="Customer_72"/>
        <s v="Customer_95"/>
      </sharedItems>
    </cacheField>
    <cacheField name="[Sales_Data].[Product].[Product]" caption="Product" numFmtId="0" hierarchy="27" level="1">
      <sharedItems count="12">
        <s v="Cabinet"/>
        <s v="Chair"/>
        <s v="Desk"/>
        <s v="File"/>
        <s v="Laptop"/>
        <s v="Mobile"/>
        <s v="Monitor"/>
        <s v="Notebook"/>
        <s v="Pen"/>
        <s v="Printer"/>
        <s v="Stapler"/>
        <s v="Table"/>
      </sharedItems>
    </cacheField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2" memberValueDatatype="130" unbalanced="0">
      <fieldsUsage count="2">
        <fieldUsage x="-1"/>
        <fieldUsage x="2"/>
      </fieldsUsage>
    </cacheHierarchy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HP" refreshedDate="46113.631459837961" backgroundQuery="1" createdVersion="6" refreshedVersion="6" minRefreshableVersion="3" recordCount="0" supportSubquery="1" supportAdvancedDrill="1">
  <cacheSource type="external" connectionId="6"/>
  <cacheFields count="4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before_discount_amount]" caption="Sum of before_discount_amount" numFmtId="0" hierarchy="49" level="32767"/>
    <cacheField name="[Measures].[Sum of discount_amount]" caption="Sum of discount_amount" numFmtId="0" hierarchy="50" level="32767"/>
    <cacheField name="[Measures].[Sum of Sales_Amount]" caption="Sum of Sales_Amount" numFmtId="0" hierarchy="43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HP" refreshedDate="46113.631460763892" backgroundQuery="1" createdVersion="6" refreshedVersion="6" minRefreshableVersion="3" recordCount="0" supportSubquery="1" supportAdvancedDrill="1">
  <cacheSource type="external" connectionId="6"/>
  <cacheFields count="3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Sales_Amount]" caption="Sum of Sales_Amount" numFmtId="0" hierarchy="43" level="32767"/>
    <cacheField name="[Measures].[Sum of Budget_Revenue]" caption="Sum of Budget_Revenue" numFmtId="0" hierarchy="44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HP" refreshedDate="46113.63146261574" backgroundQuery="1" createdVersion="6" refreshedVersion="6" minRefreshableVersion="3" recordCount="0" supportSubquery="1" supportAdvancedDrill="1">
  <cacheSource type="external" connectionId="6"/>
  <cacheFields count="2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Budget_Revenue]" caption="Sum of Budget_Revenue" numFmtId="0" hierarchy="44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HP" refreshedDate="46113.631463541664" backgroundQuery="1" createdVersion="6" refreshedVersion="6" minRefreshableVersion="3" recordCount="0" supportSubquery="1" supportAdvancedDrill="1">
  <cacheSource type="external" connectionId="6"/>
  <cacheFields count="2">
    <cacheField name="[Measures].[Sum of Budget_Expense]" caption="Sum of Budget_Expense" numFmtId="0" hierarchy="45" level="32767"/>
    <cacheField name="[Measures].[Sum of Budget_Revenue]" caption="Sum of Budget_Revenue" numFmtId="0" hierarchy="44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HP" refreshedDate="46113.631464467595" backgroundQuery="1" createdVersion="6" refreshedVersion="6" minRefreshableVersion="3" recordCount="0" supportSubquery="1" supportAdvancedDrill="1">
  <cacheSource type="external" connectionId="6"/>
  <cacheFields count="2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Count of Customer_Name]" caption="Count of Customer_Name" numFmtId="0" hierarchy="47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HP" refreshedDate="46113.633259837959" backgroundQuery="1" createdVersion="6" refreshedVersion="6" minRefreshableVersion="3" recordCount="0" supportSubquery="1" supportAdvancedDrill="1">
  <cacheSource type="external" connectionId="6"/>
  <cacheFields count="2">
    <cacheField name="[Customer_Data].[region].[region]" caption="region" numFmtId="0" hierarchy="13" level="1">
      <sharedItems count="4">
        <s v="east"/>
        <s v="north"/>
        <s v="south"/>
        <s v="west"/>
      </sharedItems>
    </cacheField>
    <cacheField name="[Measures].[Count of Customer_Name 2]" caption="Count of Customer_Name 2" numFmtId="0" hierarchy="51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2" memberValueDatatype="130" unbalanced="0">
      <fieldsUsage count="2">
        <fieldUsage x="-1"/>
        <fieldUsage x="0"/>
      </fieldsUsage>
    </cacheHierarchy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refreshedBy="HP" refreshedDate="46158.589842592592" backgroundQuery="1" createdVersion="6" refreshedVersion="6" minRefreshableVersion="3" recordCount="0" supportSubquery="1" supportAdvancedDrill="1">
  <cacheSource type="external" connectionId="6"/>
  <cacheFields count="3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Budget_Expense]" caption="Sum of Budget_Expense" numFmtId="0" hierarchy="45" level="32767"/>
    <cacheField name="[Measures].[Sum of Amount]" caption="Sum of Amount" numFmtId="0" hierarchy="46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refreshedBy="HP" refreshedDate="46158.590681712965" backgroundQuery="1" createdVersion="6" refreshedVersion="6" minRefreshableVersion="3" recordCount="0" supportSubquery="1" supportAdvancedDrill="1">
  <cacheSource type="external" connectionId="6"/>
  <cacheFields count="2">
    <cacheField name="[Measures].[Sum of Amount]" caption="Sum of Amount" numFmtId="0" hierarchy="46" level="32767"/>
    <cacheField name="[Measures].[Sum of Sales_Amount]" caption="Sum of Sales_Amount" numFmtId="0" hierarchy="43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refreshedBy="HP" refreshedDate="46172.689653587964" backgroundQuery="1" createdVersion="6" refreshedVersion="6" minRefreshableVersion="3" recordCount="0" supportSubquery="1" supportAdvancedDrill="1">
  <cacheSource type="external" connectionId="6"/>
  <cacheFields count="3">
    <cacheField name="[Region].[Region].[Region]" caption="Region" numFmtId="0" hierarchy="19" level="1">
      <sharedItems count="4">
        <s v="East"/>
        <s v="North"/>
        <s v="South"/>
        <s v="West"/>
      </sharedItems>
    </cacheField>
    <cacheField name="[Measures].[Sum of Sales_Amount]" caption="Sum of Sales_Amount" numFmtId="0" hierarchy="43" level="32767"/>
    <cacheField name="[Measures].[Sum of Amount]" caption="Sum of Amount" numFmtId="0" hierarchy="46" level="32767"/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0" memberValueDatatype="130" unbalanced="0"/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2" memberValueDatatype="130" unbalanced="0">
      <fieldsUsage count="2">
        <fieldUsage x="-1"/>
        <fieldUsage x="0"/>
      </fieldsUsage>
    </cacheHierarchy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refreshedBy="HP" refreshedDate="46172.764964930553" backgroundQuery="1" createdVersion="6" refreshedVersion="6" minRefreshableVersion="3" recordCount="0" supportSubquery="1" supportAdvancedDrill="1">
  <cacheSource type="external" connectionId="6"/>
  <cacheFields count="2">
    <cacheField name="[Measures].[Sum of Sales_Amount]" caption="Sum of Sales_Amount" numFmtId="0" hierarchy="43" level="32767"/>
    <cacheField name="[Customer_Data].[Customer_Name].[Customer_Name]" caption="Customer_Name" numFmtId="0" hierarchy="11" level="1">
      <sharedItems count="5">
        <s v="Customer_10"/>
        <s v="Customer_120"/>
        <s v="Customer_177"/>
        <s v="Customer_72"/>
        <s v="Customer_95"/>
      </sharedItems>
    </cacheField>
  </cacheFields>
  <cacheHierarchies count="52">
    <cacheHierarchy uniqueName="[Budget_Data].[Budget_Expense]" caption="Budget_Expense" attribute="1" defaultMemberUniqueName="[Budget_Data].[Budget_Expense].[All]" allUniqueName="[Budget_Data].[Budget_Expense].[All]" dimensionUniqueName="[Budget_Data]" displayFolder="" count="0" memberValueDatatype="20" unbalanced="0"/>
    <cacheHierarchy uniqueName="[Budget_Data].[Budget_Revenue]" caption="Budget_Revenue" attribute="1" defaultMemberUniqueName="[Budget_Data].[Budget_Revenue].[All]" allUniqueName="[Budget_Data].[Budget_Revenue].[All]" dimensionUniqueName="[Budget_Data]" displayFolder="" count="0" memberValueDatatype="20" unbalanced="0"/>
    <cacheHierarchy uniqueName="[Budget_Data].[Month]" caption="Month" attribute="1" time="1" defaultMemberUniqueName="[Budget_Data].[Month].[All]" allUniqueName="[Budget_Data].[Month].[All]" dimensionUniqueName="[Budget_Data]" displayFolder="" count="0" memberValueDatatype="7" unbalanced="0"/>
    <cacheHierarchy uniqueName="[Budget_Data].[Region]" caption="Region" attribute="1" defaultMemberUniqueName="[Budget_Data].[Region].[All]" allUniqueName="[Budget_Data].[Region].[All]" dimensionUniqueName="[Budget_Data]" displayFolder="" count="0" memberValueDatatype="130" unbalanced="0"/>
    <cacheHierarchy uniqueName="[custom_claender].[date]" caption="date" attribute="1" time="1" defaultMemberUniqueName="[custom_claender].[date].[All]" allUniqueName="[custom_claender].[date].[All]" dimensionUniqueName="[custom_claender]" displayFolder="" count="0" memberValueDatatype="7" unbalanced="0"/>
    <cacheHierarchy uniqueName="[custom_claender].[date (Month)]" caption="date (Month)" attribute="1" defaultMemberUniqueName="[custom_claender].[date (Month)].[All]" allUniqueName="[custom_claender].[date (Month)].[All]" dimensionUniqueName="[custom_claender]" displayFolder="" count="0" memberValueDatatype="130" unbalanced="0"/>
    <cacheHierarchy uniqueName="[custom_claender].[date (Quarter)]" caption="date (Quarter)" attribute="1" defaultMemberUniqueName="[custom_claender].[date (Quarter)].[All]" allUniqueName="[custom_claender].[date (Quarter)].[All]" dimensionUniqueName="[custom_claender]" displayFolder="" count="0" memberValueDatatype="130" unbalanced="0"/>
    <cacheHierarchy uniqueName="[custom_claender].[date (Year)]" caption="date (Year)" attribute="1" defaultMemberUniqueName="[custom_claender].[date (Year)].[All]" allUniqueName="[custom_claender].[date (Year)].[All]" dimensionUniqueName="[custom_claender]" displayFolder="" count="0" memberValueDatatype="130" unbalanced="0"/>
    <cacheHierarchy uniqueName="[Customer_Data].[City]" caption="City" attribute="1" defaultMemberUniqueName="[Customer_Data].[City].[All]" allUniqueName="[Customer_Data].[City].[All]" dimensionUniqueName="[Customer_Data]" displayFolder="" count="0" memberValueDatatype="130" unbalanced="0"/>
    <cacheHierarchy uniqueName="[Customer_Data].[Column1]" caption="Column1" attribute="1" defaultMemberUniqueName="[Customer_Data].[Column1].[All]" allUniqueName="[Customer_Data].[Column1].[All]" dimensionUniqueName="[Customer_Data]" displayFolder="" count="0" memberValueDatatype="130" unbalanced="0"/>
    <cacheHierarchy uniqueName="[Customer_Data].[Customer_ID]" caption="Customer_ID" attribute="1" defaultMemberUniqueName="[Customer_Data].[Customer_ID].[All]" allUniqueName="[Customer_Data].[Customer_ID].[All]" dimensionUniqueName="[Customer_Data]" displayFolder="" count="0" memberValueDatatype="130" unbalanced="0"/>
    <cacheHierarchy uniqueName="[Customer_Data].[Customer_Name]" caption="Customer_Name" attribute="1" defaultMemberUniqueName="[Customer_Data].[Customer_Name].[All]" allUniqueName="[Customer_Data].[Customer_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Customer_Data].[Join_Date]" caption="Join_Date" attribute="1" time="1" defaultMemberUniqueName="[Customer_Data].[Join_Date].[All]" allUniqueName="[Customer_Data].[Join_Date].[All]" dimensionUniqueName="[Customer_Data]" displayFolder="" count="0" memberValueDatatype="7" unbalanced="0"/>
    <cacheHierarchy uniqueName="[Customer_Data].[region]" caption="region" attribute="1" defaultMemberUniqueName="[Customer_Data].[region].[All]" allUniqueName="[Customer_Data].[region].[All]" dimensionUniqueName="[Customer_Data]" displayFolder="" count="0" memberValueDatatype="130" unbalanced="0"/>
    <cacheHierarchy uniqueName="[Customer_Data].[Segment]" caption="Segment" attribute="1" defaultMemberUniqueName="[Customer_Data].[Segment].[All]" allUniqueName="[Customer_Data].[Segment].[All]" dimensionUniqueName="[Customer_Data]" displayFolder="" count="0" memberValueDatatype="130" unbalanced="0"/>
    <cacheHierarchy uniqueName="[Expense_Data].[Amount]" caption="Amount" attribute="1" defaultMemberUniqueName="[Expense_Data].[Amount].[All]" allUniqueName="[Expense_Data].[Amount].[All]" dimensionUniqueName="[Expense_Data]" displayFolder="" count="0" memberValueDatatype="20" unbalanced="0"/>
    <cacheHierarchy uniqueName="[Expense_Data].[Date]" caption="Date" attribute="1" time="1" defaultMemberUniqueName="[Expense_Data].[Date].[All]" allUniqueName="[Expense_Data].[Date].[All]" dimensionUniqueName="[Expense_Data]" displayFolder="" count="0" memberValueDatatype="7" unbalanced="0"/>
    <cacheHierarchy uniqueName="[Expense_Data].[Expense_Category]" caption="Expense_Category" attribute="1" defaultMemberUniqueName="[Expense_Data].[Expense_Category].[All]" allUniqueName="[Expense_Data].[Expense_Category].[All]" dimensionUniqueName="[Expense_Data]" displayFolder="" count="0" memberValueDatatype="130" unbalanced="0"/>
    <cacheHierarchy uniqueName="[Expense_Data].[Region]" caption="Region" attribute="1" defaultMemberUniqueName="[Expense_Data].[Region].[All]" allUniqueName="[Expense_Data].[Region].[All]" dimensionUniqueName="[Expense_Data]" displayFolder="" count="0" memberValueDatatype="130" unbalanced="0"/>
    <cacheHierarchy uniqueName="[Region].[Region]" caption="Region" attribute="1" defaultMemberUniqueName="[Region].[Region].[All]" allUniqueName="[Region].[Region].[All]" dimensionUniqueName="[Region]" displayFolder="" count="0" memberValueDatatype="130" unbalanced="0"/>
    <cacheHierarchy uniqueName="[Sales_Data].[before_discount_amount]" caption="before_discount_amount" attribute="1" defaultMemberUniqueName="[Sales_Data].[before_discount_amount].[All]" allUniqueName="[Sales_Data].[before_discount_amount].[All]" dimensionUniqueName="[Sales_Data]" displayFolder="" count="0" memberValueDatatype="20" unbalanced="0"/>
    <cacheHierarchy uniqueName="[Sales_Data].[Category]" caption="Category" attribute="1" defaultMemberUniqueName="[Sales_Data].[Category].[All]" allUniqueName="[Sales_Data].[Category].[All]" dimensionUniqueName="[Sales_Data]" displayFolder="" count="0" memberValueDatatype="130" unbalanced="0"/>
    <cacheHierarchy uniqueName="[Sales_Data].[Customer_Name]" caption="Customer_Name" attribute="1" defaultMemberUniqueName="[Sales_Data].[Customer_Name].[All]" allUniqueName="[Sales_Data].[Customer_Name].[All]" dimensionUniqueName="[Sales_Data]" displayFolder="" count="0" memberValueDatatype="130" unbalanced="0"/>
    <cacheHierarchy uniqueName="[Sales_Data].[Date]" caption="Date" attribute="1" time="1" defaultMemberUniqueName="[Sales_Data].[Date].[All]" allUniqueName="[Sales_Data].[Date].[All]" dimensionUniqueName="[Sales_Data]" displayFolder="" count="0" memberValueDatatype="7" unbalanced="0"/>
    <cacheHierarchy uniqueName="[Sales_Data].[Discount_%]" caption="Discount_%" attribute="1" defaultMemberUniqueName="[Sales_Data].[Discount_%].[All]" allUniqueName="[Sales_Data].[Discount_%].[All]" dimensionUniqueName="[Sales_Data]" displayFolder="" count="0" memberValueDatatype="5" unbalanced="0"/>
    <cacheHierarchy uniqueName="[Sales_Data].[discount_amount]" caption="discount_amount" attribute="1" defaultMemberUniqueName="[Sales_Data].[discount_amount].[All]" allUniqueName="[Sales_Data].[discount_amount].[All]" dimensionUniqueName="[Sales_Data]" displayFolder="" count="0" memberValueDatatype="5" unbalanced="0"/>
    <cacheHierarchy uniqueName="[Sales_Data].[Order_ID]" caption="Order_ID" attribute="1" defaultMemberUniqueName="[Sales_Data].[Order_ID].[All]" allUniqueName="[Sales_Data].[Order_ID].[All]" dimensionUniqueName="[Sales_Data]" displayFolder="" count="0" memberValueDatatype="130" unbalanced="0"/>
    <cacheHierarchy uniqueName="[Sales_Data].[Product]" caption="Product" attribute="1" defaultMemberUniqueName="[Sales_Data].[Product].[All]" allUniqueName="[Sales_Data].[Product].[All]" dimensionUniqueName="[Sales_Data]" displayFolder="" count="0" memberValueDatatype="130" unbalanced="0"/>
    <cacheHierarchy uniqueName="[Sales_Data].[Quantity]" caption="Quantity" attribute="1" defaultMemberUniqueName="[Sales_Data].[Quantity].[All]" allUniqueName="[Sales_Data].[Quantity].[All]" dimensionUniqueName="[Sales_Data]" displayFolder="" count="0" memberValueDatatype="20" unbalanced="0"/>
    <cacheHierarchy uniqueName="[Sales_Data].[Region]" caption="Region" attribute="1" defaultMemberUniqueName="[Sales_Data].[Region].[All]" allUniqueName="[Sales_Data].[Region].[All]" dimensionUniqueName="[Sales_Data]" displayFolder="" count="0" memberValueDatatype="130" unbalanced="0"/>
    <cacheHierarchy uniqueName="[Sales_Data].[Sales_Amount]" caption="Sales_Amount" attribute="1" defaultMemberUniqueName="[Sales_Data].[Sales_Amount].[All]" allUniqueName="[Sales_Data].[Sales_Amount].[All]" dimensionUniqueName="[Sales_Data]" displayFolder="" count="0" memberValueDatatype="5" unbalanced="0"/>
    <cacheHierarchy uniqueName="[Sales_Data].[Unit_Price]" caption="Unit_Price" attribute="1" defaultMemberUniqueName="[Sales_Data].[Unit_Price].[All]" allUniqueName="[Sales_Data].[Unit_Price].[All]" dimensionUniqueName="[Sales_Data]" displayFolder="" count="0" memberValueDatatype="20" unbalanced="0"/>
    <cacheHierarchy uniqueName="[Sales_Data].[value_cheking]" caption="value_cheking" attribute="1" defaultMemberUniqueName="[Sales_Data].[value_cheking].[All]" allUniqueName="[Sales_Data].[value_cheking].[All]" dimensionUniqueName="[Sales_Data]" displayFolder="" count="0" memberValueDatatype="130" unbalanced="0"/>
    <cacheHierarchy uniqueName="[custom_claender].[date (Month Index)]" caption="date (Month Index)" attribute="1" defaultMemberUniqueName="[custom_claender].[date (Month Index)].[All]" allUniqueName="[custom_claender].[date (Month Index)].[All]" dimensionUniqueName="[custom_claender]" displayFolder="" count="0" memberValueDatatype="20" unbalanced="0" hidden="1"/>
    <cacheHierarchy uniqueName="[Measures].[__XL_Count Sales_Data]" caption="__XL_Count Sales_Data" measure="1" displayFolder="" measureGroup="Sales_Data" count="0" hidden="1"/>
    <cacheHierarchy uniqueName="[Measures].[__XL_Count Customer_Data]" caption="__XL_Count Customer_Data" measure="1" displayFolder="" measureGroup="Customer_Data" count="0" hidden="1"/>
    <cacheHierarchy uniqueName="[Measures].[__XL_Count Region]" caption="__XL_Count Region" measure="1" displayFolder="" measureGroup="Region" count="0" hidden="1"/>
    <cacheHierarchy uniqueName="[Measures].[__XL_Count Budget_Data]" caption="__XL_Count Budget_Data" measure="1" displayFolder="" measureGroup="Budget_Data" count="0" hidden="1"/>
    <cacheHierarchy uniqueName="[Measures].[__XL_Count Expense_Data]" caption="__XL_Count Expense_Data" measure="1" displayFolder="" measureGroup="Expense_Data" count="0" hidden="1"/>
    <cacheHierarchy uniqueName="[Measures].[__XL_Count custom_claender]" caption="__XL_Count custom_claender" measure="1" displayFolder="" measureGroup="custom_claender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Sales_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Price]" caption="Sum of Unit_Price" measure="1" displayFolder="" measureGroup="Sales_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Sales_Amount]" caption="Sum of Sales_Amount" measure="1" displayFolder="" measureGroup="Sales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Budget_Revenue]" caption="Sum of Budget_Revenue" measure="1" displayFolder="" measureGroup="Budget_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dget_Expense]" caption="Sum of Budget_Expense" measure="1" displayFolder="" measureGroup="Budget_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Expense_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ustomer_Name]" caption="Count of Customer_Name" measure="1" displayFolder="" measureGroup="Sales_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Discount_%]" caption="Sum of Discount_%" measure="1" displayFolder="" measureGroup="Sales_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efore_discount_amount]" caption="Sum of before_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discount_amount]" caption="Sum of discount_amount" measure="1" displayFolder="" measureGroup="Sales_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Customer_Name 2]" caption="Count of Customer_Name 2" measure="1" displayFolder="" measureGroup="Customer_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7">
    <dimension name="Budget_Data" uniqueName="[Budget_Data]" caption="Budget_Data"/>
    <dimension name="custom_claender" uniqueName="[custom_claender]" caption="custom_claender"/>
    <dimension name="Customer_Data" uniqueName="[Customer_Data]" caption="Customer_Data"/>
    <dimension name="Expense_Data" uniqueName="[Expense_Data]" caption="Expense_Data"/>
    <dimension measure="1" name="Measures" uniqueName="[Measures]" caption="Measures"/>
    <dimension name="Region" uniqueName="[Region]" caption="Region"/>
    <dimension name="Sales_Data" uniqueName="[Sales_Data]" caption="Sales_Data"/>
  </dimensions>
  <measureGroups count="6">
    <measureGroup name="Budget_Data" caption="Budget_Data"/>
    <measureGroup name="custom_claender" caption="custom_claender"/>
    <measureGroup name="Customer_Data" caption="Customer_Data"/>
    <measureGroup name="Expense_Data" caption="Expense_Data"/>
    <measureGroup name="Region" caption="Region"/>
    <measureGroup name="Sales_Data" caption="Sales_Data"/>
  </measureGroups>
  <maps count="13">
    <map measureGroup="0" dimension="0"/>
    <map measureGroup="0" dimension="1"/>
    <map measureGroup="0" dimension="5"/>
    <map measureGroup="1" dimension="1"/>
    <map measureGroup="2" dimension="2"/>
    <map measureGroup="3" dimension="1"/>
    <map measureGroup="3" dimension="3"/>
    <map measureGroup="3" dimension="5"/>
    <map measureGroup="4" dimension="5"/>
    <map measureGroup="5" dimension="1"/>
    <map measureGroup="5" dimension="2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1" cacheId="14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4">
  <location ref="G28:I33" firstHeaderRow="0" firstDataRow="1" firstDataCol="1"/>
  <pivotFields count="3">
    <pivotField axis="axisRow" compact="0" allDrilled="1" outline="0" showAll="0" defaultAttributeDrillState="1">
      <items count="5">
        <item x="0"/>
        <item x="1"/>
        <item x="2"/>
        <item x="3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 Sales_Amount" fld="1" baseField="0" baseItem="0"/>
    <dataField name="expense amount" fld="2" baseField="0" baseItem="0"/>
  </dataFields>
  <chartFormats count="2"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Budget_Data]"/>
        <x15:activeTabTopLevelEntity name="[Expense_Data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9" cacheId="1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D12:E17" firstHeaderRow="1" firstDataRow="1" firstDataCol="1"/>
  <pivotFields count="2">
    <pivotField axis="axisRow" compact="0" allDrilled="1" outline="0" showAll="0" defaultAttributeDrillState="1">
      <items count="5">
        <item x="0" e="0"/>
        <item x="1" e="0"/>
        <item x="2" e="0"/>
        <item x="3" e="0"/>
        <item t="default"/>
      </items>
    </pivotField>
    <pivotField dataField="1" compact="0" outline="0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ustomer_Name" fld="1" subtotal="count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compact="0" compactData="0" multipleFieldFilters="0" chartFormat="4">
  <location ref="J3:L8" firstHeaderRow="0" firstDataRow="1" firstDataCol="1"/>
  <pivotFields count="3">
    <pivotField axis="axisRow" compact="0" allDrilled="1" outline="0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outline="0" showAll="0"/>
  </pivotFields>
  <rowFields count="1">
    <field x="0"/>
  </rowFields>
  <rowItems count="5">
    <i>
      <x v="3"/>
    </i>
    <i>
      <x v="1"/>
    </i>
    <i>
      <x v="2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ales_Amount &amp; revenue" fld="1" baseField="0" baseItem="0"/>
    <dataField name=" Budget_Revenue" fld="2" baseField="0" baseItem="0"/>
  </dataFields>
  <chartFormats count="4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Budget_Data]"/>
      </x15:pivotTableUISettings>
    </ext>
  </extLst>
</pivotTableDefinition>
</file>

<file path=xl/pivotTables/pivotTable4.xml><?xml version="1.0" encoding="utf-8"?>
<pivotTableDefinition xmlns="http://schemas.openxmlformats.org/spreadsheetml/2006/main" name="PivotTable8" cacheId="5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A3:B16" firstHeaderRow="1" firstDataRow="1" firstDataCol="1"/>
  <pivotFields count="3">
    <pivotField dataField="1" compact="0" outline="0" showAll="0"/>
    <pivotField compact="0" allDrilled="1" outline="0" showAll="0" measureFilter="1" sortType="ascending" defaultAttributeDrillState="1">
      <items count="6">
        <item x="0"/>
        <item x="1"/>
        <item x="2"/>
        <item x="3"/>
        <item x="4"/>
        <item t="default"/>
      </items>
    </pivotField>
    <pivotField axis="axisRow" compact="0" allDrilled="1" outline="0" showAll="0" sortType="de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13">
    <i>
      <x v="8"/>
    </i>
    <i>
      <x v="9"/>
    </i>
    <i>
      <x/>
    </i>
    <i>
      <x v="6"/>
    </i>
    <i>
      <x v="11"/>
    </i>
    <i>
      <x v="5"/>
    </i>
    <i>
      <x v="4"/>
    </i>
    <i>
      <x v="2"/>
    </i>
    <i>
      <x v="1"/>
    </i>
    <i>
      <x v="10"/>
    </i>
    <i>
      <x v="3"/>
    </i>
    <i>
      <x v="7"/>
    </i>
    <i t="grand">
      <x/>
    </i>
  </rowItems>
  <colItems count="1">
    <i/>
  </colItems>
  <dataFields count="1">
    <dataField name="Sales_Amount &amp; Revenue" fld="0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5" iMeasureHier="43">
      <autoFilter ref="A1">
        <filterColumn colId="0">
          <top10 val="5" filterVal="5"/>
        </filterColumn>
      </autoFilter>
    </filter>
  </filters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Customer_Data]"/>
      </x15:pivotTableUISettings>
    </ext>
  </extLst>
</pivotTableDefinition>
</file>

<file path=xl/pivotTables/pivotTable5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G3:H8" firstHeaderRow="1" firstDataRow="1" firstDataCol="1"/>
  <pivotFields count="2">
    <pivotField axis="axisRow" compact="0" allDrilled="1" outline="0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0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 Budget_Revenue" fld="1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Budget_Data]"/>
      </x15:pivotTableUISettings>
    </ext>
  </extLst>
</pivotTableDefinition>
</file>

<file path=xl/pivotTables/pivotTable6.xml><?xml version="1.0" encoding="utf-8"?>
<pivotTableDefinition xmlns="http://schemas.openxmlformats.org/spreadsheetml/2006/main" name="PivotTable13" cacheId="13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compact="0" compactData="0" multipleFieldFilters="0" chartFormat="4">
  <location ref="G20:H21" firstHeaderRow="0" firstDataRow="1" firstDataCol="0"/>
  <pivotFields count="2">
    <pivotField dataField="1" compact="0" outline="0" showAll="0"/>
    <pivotField dataField="1" compact="0" outline="0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_expense" fld="0" baseField="0" baseItem="1"/>
    <dataField name="total_sales &amp; revenue ad" fld="1" baseField="0" baseItem="1"/>
  </dataFields>
  <formats count="3"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Expense_Data]"/>
        <x15:activeTabTopLevelEntity name="[Budget_Data]"/>
      </x15:pivotTableUISettings>
    </ext>
  </extLst>
</pivotTableDefinition>
</file>

<file path=xl/pivotTables/pivotTable7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compact="0" compactData="0" multipleFieldFilters="0" chartFormat="4">
  <location ref="J12:L17" firstHeaderRow="0" firstDataRow="1" firstDataCol="1"/>
  <pivotFields count="3">
    <pivotField axis="axisRow" compact="0" allDrilled="1" outline="0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outline="0" showAll="0"/>
  </pivotFields>
  <rowFields count="1">
    <field x="0"/>
  </rowFields>
  <rowItems count="5">
    <i>
      <x v="2"/>
    </i>
    <i>
      <x v="3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 Budget_Expense" fld="1" baseField="0" baseItem="0"/>
    <dataField name="Expense_amount" fld="2" baseField="0" baseItem="2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Budget_Data]"/>
        <x15:activeTabTopLevelEntity name="[Expense_Data]"/>
      </x15:pivotTableUISettings>
    </ext>
  </extLst>
</pivotTableDefinition>
</file>

<file path=xl/pivotTables/pivotTable8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D3:E8" firstHeaderRow="1" firstDataRow="1" firstDataCol="1"/>
  <pivotFields count="2">
    <pivotField axis="axisRow" compact="0" allDrilled="1" outline="0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0"/>
  </rowFields>
  <rowItems count="5">
    <i>
      <x v="3"/>
    </i>
    <i>
      <x v="1"/>
    </i>
    <i>
      <x v="2"/>
    </i>
    <i>
      <x/>
    </i>
    <i t="grand">
      <x/>
    </i>
  </rowItems>
  <colItems count="1">
    <i/>
  </colItems>
  <dataFields count="1">
    <dataField name="Sales_Amount &amp; Revenue" fld="1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</x15:pivotTableUISettings>
    </ext>
  </extLst>
</pivotTableDefinition>
</file>

<file path=xl/pivotTables/pivotTable9.xml><?xml version="1.0" encoding="utf-8"?>
<pivotTableDefinition xmlns="http://schemas.openxmlformats.org/spreadsheetml/2006/main" name="PivotTable6" cacheId="9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compact="0" compactData="0" multipleFieldFilters="0" chartFormat="4">
  <location ref="D20:E21" firstHeaderRow="0" firstDataRow="1" firstDataCol="0"/>
  <pivotFields count="2">
    <pivotField dataField="1" compact="0" outline="0" showAll="0"/>
    <pivotField dataField="1" compact="0" outline="0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Budget_Expense" fld="0" baseField="0" baseItem="1"/>
    <dataField name=" Budget_Revenue" fld="1" baseField="0" baseItem="1"/>
  </dataFields>
  <formats count="3"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Expense_Data]"/>
        <x15:activeTabTopLevelEntity name="[Budget_Data]"/>
      </x15:pivotTableUISettings>
    </ext>
  </extLst>
</pivotTableDefinition>
</file>

<file path=xl/pivotTables/pivotTable10.xml><?xml version="1.0" encoding="utf-8"?>
<pivotTableDefinition xmlns="http://schemas.openxmlformats.org/spreadsheetml/2006/main" name="PivotTable12" cacheId="11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4">
  <location ref="D26:E31" firstHeaderRow="1" firstDataRow="1" firstDataCol="1"/>
  <pivotFields count="2"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outline="0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ustomer_Name" fld="1" subtotal="count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Customer_Data]"/>
      </x15:pivotTableUISettings>
    </ext>
  </extLst>
</pivotTableDefinition>
</file>

<file path=xl/pivotTables/pivotTable1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6">
  <location ref="A20:B25" firstHeaderRow="1" firstDataRow="1" firstDataCol="1"/>
  <pivotFields count="2">
    <pivotField axis="axisRow" compact="0" allDrilled="1" outline="0" showAll="0" sortType="descending" defaultAttributeDrillState="1">
      <items count="5">
        <item x="0" e="0"/>
        <item x="1" e="0"/>
        <item x="2" e="0"/>
        <item x="3" e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0"/>
  </rowFields>
  <rowItems count="5">
    <i>
      <x v="3"/>
    </i>
    <i>
      <x v="1"/>
    </i>
    <i>
      <x v="2"/>
    </i>
    <i>
      <x/>
    </i>
    <i t="grand">
      <x/>
    </i>
  </rowItems>
  <colItems count="1">
    <i/>
  </colItems>
  <dataFields count="1">
    <dataField name=" Quantity" fld="1" baseField="0" baseItem="0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</x15:pivotTableUISettings>
    </ext>
  </extLst>
</pivotTableDefinition>
</file>

<file path=xl/pivotTables/pivotTable12.xml><?xml version="1.0" encoding="utf-8"?>
<pivotTableDefinition xmlns="http://schemas.openxmlformats.org/spreadsheetml/2006/main" name="PivotTable10" cacheId="6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J20:M25" firstHeaderRow="0" firstDataRow="1" firstDataCol="1"/>
  <pivotFields count="4"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before_discount_amount" fld="1" baseField="0" baseItem="0"/>
    <dataField name="Sum of discount_amount" fld="2" baseField="0" baseItem="0"/>
    <dataField name="Sum of Sales_Amount" fld="3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</x15:pivotTableUISettings>
    </ext>
  </extLst>
</pivotTableDefinition>
</file>

<file path=xl/pivotTables/pivotTable13.xml><?xml version="1.0" encoding="utf-8"?>
<pivotTableDefinition xmlns="http://schemas.openxmlformats.org/spreadsheetml/2006/main" name="PivotTable7" cacheId="4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4">
  <location ref="G12:H16" firstHeaderRow="1" firstDataRow="1" firstDataCol="1"/>
  <pivotFields count="3">
    <pivotField dataField="1" compact="0" outline="0" showAll="0"/>
    <pivotField compact="0" allDrilled="1" outline="0" showAll="0" measureFilter="1" sortType="ascending" defaultAttributeDrillState="1">
      <items count="6">
        <item x="0"/>
        <item x="1"/>
        <item x="2"/>
        <item x="3"/>
        <item x="4"/>
        <item t="default"/>
      </items>
    </pivotField>
    <pivotField axis="axisRow" compact="0" allDrilled="1" outline="0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ales_Amount &amp; Revenue" fld="0" baseField="0" baseItem="0"/>
  </dataField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5" iMeasureHier="43">
      <autoFilter ref="A1">
        <filterColumn colId="0">
          <top10 val="5" filterVal="5"/>
        </filterColumn>
      </autoFilter>
    </filter>
  </filter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Customer_Data]"/>
      </x15:pivotTableUISettings>
    </ext>
  </extLst>
</pivotTableDefinition>
</file>

<file path=xl/pivotTables/pivotTable14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1">
  <location ref="G4:G5" firstHeaderRow="1" firstDataRow="1" firstDataCol="0"/>
  <pivotFields count="1">
    <pivotField dataField="1" compact="0" outline="0" showAll="0"/>
  </pivotFields>
  <rowItems count="1">
    <i/>
  </rowItems>
  <colItems count="1">
    <i/>
  </colItems>
  <dataFields count="1">
    <dataField name="Sum of Amount" fld="0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Expense_Data]"/>
      </x15:pivotTableUISettings>
    </ext>
  </extLst>
</pivotTableDefinition>
</file>

<file path=xl/pivotTables/pivotTable15.xml><?xml version="1.0" encoding="utf-8"?>
<pivotTableDefinition xmlns="http://schemas.openxmlformats.org/spreadsheetml/2006/main" name="PivotTable6" cacheId="15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hartFormat="4">
  <location ref="E11:F17" firstHeaderRow="1" firstDataRow="1" firstDataCol="1"/>
  <pivotFields count="2">
    <pivotField dataField="1" compact="0" outline="0" showAll="0"/>
    <pivotField axis="axisRow" compact="0" allDrilled="1" outline="0" showAll="0" measureFilter="1" sortType="ascending" defaultAttributeDrillState="1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6">
    <i>
      <x v="1"/>
    </i>
    <i>
      <x v="4"/>
    </i>
    <i>
      <x/>
    </i>
    <i>
      <x v="3"/>
    </i>
    <i>
      <x v="2"/>
    </i>
    <i t="grand">
      <x/>
    </i>
  </rowItems>
  <colItems count="1">
    <i/>
  </colItems>
  <dataFields count="1">
    <dataField name="Sales_Amount &amp; Revenue" fld="0" baseField="0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92" iMeasureHier="43">
      <autoFilter ref="A1">
        <filterColumn colId="0">
          <top10 val="5" filterVal="5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Customer_Data]"/>
      </x15:pivotTableUISettings>
    </ext>
  </extLst>
</pivotTableDefinition>
</file>

<file path=xl/pivotTables/pivotTable16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6" minRefreshableVersion="3" subtotalHiddenItems="1" itemPrintTitles="1" createdVersion="6" indent="0" compact="0" compactData="0" multipleFieldFilters="0" chartFormat="4">
  <location ref="A2:D3" firstHeaderRow="0" firstDataRow="1" firstDataCol="0"/>
  <pivotFields count="4"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ales_Amount" fld="0" baseField="0" baseItem="0"/>
    <dataField name="Sum of Quantity" fld="1" baseField="0" baseItem="0"/>
    <dataField name="Sum of Budget_Expense" fld="2" baseField="0" baseItem="0"/>
    <dataField name="Sum of Budget_Revenue" fld="3" baseField="0" baseItem="0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Data]"/>
        <x15:activeTabTopLevelEntity name="[Region]"/>
        <x15:activeTabTopLevelEntity name="[Budget_Data]"/>
        <x15:activeTabTopLevelEntity name="[Expense_Data]"/>
      </x15:pivotTableUISettings>
    </ext>
  </extLst>
</pivotTableDefinition>
</file>

<file path=xl/queryTables/queryTable1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Order_ID" tableColumnId="1"/>
      <queryTableField id="2" name="Date" tableColumnId="2"/>
      <queryTableField id="3" name="Customer_Name" tableColumnId="3"/>
      <queryTableField id="4" name="Region" tableColumnId="4"/>
      <queryTableField id="5" name="Product" tableColumnId="5"/>
      <queryTableField id="6" name="Category" tableColumnId="6"/>
      <queryTableField id="7" name="Quantity" tableColumnId="7"/>
      <queryTableField id="8" name="Unit_Price" tableColumnId="8"/>
      <queryTableField id="9" name="before_discount_amount" tableColumnId="9"/>
      <queryTableField id="10" name="discount_amount" tableColumnId="10"/>
      <queryTableField id="11" name="Discount_%" tableColumnId="11"/>
      <queryTableField id="12" name="Sales_Amount" tableColumnId="12"/>
      <queryTableField id="13" name="value_cheking" tableColumnId="13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"/>
      <queryTableField id="2" name="Region" tableColumnId="2"/>
      <queryTableField id="3" name="Expense_Category" tableColumnId="3"/>
      <queryTableField id="4" name="Amount" tableColumnId="4"/>
    </queryTableFields>
  </queryTableRefresh>
</queryTable>
</file>

<file path=xl/queryTables/queryTable3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Month" tableColumnId="1"/>
      <queryTableField id="2" name="Region" tableColumnId="2"/>
      <queryTableField id="3" name="Budget_Revenue" tableColumnId="3"/>
      <queryTableField id="4" name="Budget_Expense" tableColumnId="4"/>
    </queryTableFields>
  </queryTableRefresh>
</queryTable>
</file>

<file path=xl/queryTables/queryTable4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8" unboundColumnsRight="1">
    <queryTableFields count="7">
      <queryTableField id="1" name="Customer_ID" tableColumnId="8"/>
      <queryTableField id="2" name="Customer_Name" tableColumnId="9"/>
      <queryTableField id="3" name="Segment" tableColumnId="10"/>
      <queryTableField id="4" name="Join_Date" tableColumnId="11"/>
      <queryTableField id="5" name="City" tableColumnId="12"/>
      <queryTableField id="6" name="region" tableColumnId="13"/>
      <queryTableField id="7" dataBound="0" tableColumnId="14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dat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Sales_Data" displayName="Sales_Data" ref="A1:M1002" tableType="queryTable" totalsRowCount="1">
  <autoFilter ref="A1:M1001"/>
  <tableColumns count="13">
    <tableColumn id="1" uniqueName="1" name="Order_ID" totalsRowLabel="Total" queryTableFieldId="1" dataDxfId="34"/>
    <tableColumn id="2" uniqueName="2" name="Date" queryTableFieldId="2" dataDxfId="33"/>
    <tableColumn id="3" uniqueName="3" name="Customer_Name" queryTableFieldId="3" dataDxfId="32"/>
    <tableColumn id="4" uniqueName="4" name="Region" queryTableFieldId="4" dataDxfId="31"/>
    <tableColumn id="5" uniqueName="5" name="Product" queryTableFieldId="5" dataDxfId="30"/>
    <tableColumn id="6" uniqueName="6" name="Category" queryTableFieldId="6" dataDxfId="29"/>
    <tableColumn id="7" uniqueName="7" name="Quantity" queryTableFieldId="7" dataDxfId="28"/>
    <tableColumn id="8" uniqueName="8" name="Unit_Price" queryTableFieldId="8" dataDxfId="27"/>
    <tableColumn id="9" uniqueName="9" name="before_discount_amount" queryTableFieldId="9" dataDxfId="26"/>
    <tableColumn id="10" uniqueName="10" name="discount_amount" queryTableFieldId="10" dataDxfId="25"/>
    <tableColumn id="11" uniqueName="11" name="Discount_%" queryTableFieldId="11" dataDxfId="24"/>
    <tableColumn id="12" uniqueName="12" name="Sales_Amount" queryTableFieldId="12" dataDxfId="23"/>
    <tableColumn id="13" uniqueName="13" name="value_cheking" totalsRowFunction="count" queryTableFieldId="13" dataDxfId="2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xpense_Data" displayName="Expense_Data" ref="A1:D301" tableType="queryTable" totalsRowShown="0">
  <autoFilter ref="A1:D301"/>
  <tableColumns count="4">
    <tableColumn id="1" uniqueName="1" name="Date" queryTableFieldId="1" dataDxfId="21"/>
    <tableColumn id="2" uniqueName="2" name="Region" queryTableFieldId="2" dataDxfId="20"/>
    <tableColumn id="3" uniqueName="3" name="Expense_Category" queryTableFieldId="3" dataDxfId="19"/>
    <tableColumn id="4" uniqueName="4" name="Amount" queryTableFieldId="4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Budget_Data" displayName="Budget_Data" ref="A1:D97" tableType="queryTable" totalsRowShown="0">
  <autoFilter ref="A1:D97"/>
  <tableColumns count="4">
    <tableColumn id="1" uniqueName="1" name="Month" queryTableFieldId="1" dataDxfId="17"/>
    <tableColumn id="2" uniqueName="2" name="Region" queryTableFieldId="2" dataDxfId="16"/>
    <tableColumn id="3" uniqueName="3" name="Budget_Revenue" queryTableFieldId="3" dataDxfId="15"/>
    <tableColumn id="4" uniqueName="4" name="Budget_Expense" queryTableFieldId="4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Customer_Data" displayName="Customer_Data" ref="A1:G201" tableType="queryTable" totalsRowShown="0">
  <autoFilter ref="A1:G201"/>
  <tableColumns count="7">
    <tableColumn id="8" uniqueName="8" name="Customer_ID" queryTableFieldId="1" dataDxfId="13"/>
    <tableColumn id="9" uniqueName="9" name="Customer_Name" queryTableFieldId="2" dataDxfId="12"/>
    <tableColumn id="10" uniqueName="10" name="Segment" queryTableFieldId="3" dataDxfId="11"/>
    <tableColumn id="11" uniqueName="11" name="Join_Date" queryTableFieldId="4" dataDxfId="10"/>
    <tableColumn id="12" uniqueName="12" name="City" queryTableFieldId="5" dataDxfId="9"/>
    <tableColumn id="13" uniqueName="13" name="region" queryTableFieldId="6" dataDxfId="8"/>
    <tableColumn id="14" uniqueName="14" name="Column1" queryTableFieldId="7" dataDxf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Region" displayName="Region" ref="A1:A5" totalsRowShown="0" headerRowDxfId="6" headerRowBorderDxfId="5" tableBorderDxfId="4">
  <autoFilter ref="A1:A5"/>
  <tableColumns count="1">
    <tableColumn id="1" name="Region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custom_claender" displayName="custom_claender" ref="A1:A1097" tableType="queryTable" totalsRowShown="0">
  <autoFilter ref="A1:A1097"/>
  <tableColumns count="1">
    <tableColumn id="1" uniqueName="1" name="date" queryTableFieldId="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drawing" Target="../drawings/drawing2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6"/>
  <sheetViews>
    <sheetView showGridLines="0" showRowColHeaders="0" tabSelected="1" zoomScale="98" zoomScaleNormal="98" workbookViewId="0">
      <selection activeCell="V5" sqref="V5"/>
    </sheetView>
  </sheetViews>
  <sheetFormatPr defaultRowHeight="14.5" x14ac:dyDescent="0.35"/>
  <cols>
    <col min="9" max="9" width="13.90625" customWidth="1"/>
    <col min="10" max="10" width="22.1796875" customWidth="1"/>
    <col min="11" max="11" width="8.7265625" customWidth="1"/>
    <col min="15" max="15" width="5" customWidth="1"/>
    <col min="17" max="17" width="6.36328125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19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3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x14ac:dyDescent="0.3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x14ac:dyDescent="0.3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</row>
    <row r="12" spans="1:19" x14ac:dyDescent="0.3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19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</row>
    <row r="30" spans="1:19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</row>
    <row r="31" spans="1:19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</row>
    <row r="32" spans="1:19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</row>
    <row r="33" spans="1:19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</row>
    <row r="34" spans="1:19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</row>
    <row r="35" spans="1:19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</row>
    <row r="36" spans="1:19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</row>
    <row r="37" spans="1:19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</row>
    <row r="38" spans="1:19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</row>
    <row r="39" spans="1:19" x14ac:dyDescent="0.35">
      <c r="A39" s="7"/>
      <c r="B39" s="7"/>
      <c r="C39" s="7"/>
      <c r="D39" s="7"/>
      <c r="E39" s="7"/>
      <c r="F39" s="7"/>
      <c r="G39" s="7"/>
      <c r="H39" s="17"/>
      <c r="I39" s="7"/>
      <c r="J39" s="7"/>
      <c r="K39" s="20"/>
      <c r="L39" s="20"/>
      <c r="M39" s="20"/>
      <c r="N39" s="20"/>
      <c r="O39" s="7"/>
      <c r="P39" s="7"/>
      <c r="Q39" s="7"/>
      <c r="R39" s="7"/>
      <c r="S39" s="18">
        <v>5</v>
      </c>
    </row>
    <row r="40" spans="1:19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</row>
    <row r="41" spans="1:19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8"/>
      <c r="M41" s="7"/>
      <c r="N41" s="8"/>
      <c r="O41" s="7"/>
      <c r="P41" s="7"/>
      <c r="Q41" s="7"/>
      <c r="R41" s="7"/>
      <c r="S41" s="7"/>
    </row>
    <row r="42" spans="1:19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8"/>
      <c r="M42" s="7"/>
      <c r="N42" s="8"/>
      <c r="O42" s="7"/>
      <c r="P42" s="7"/>
      <c r="Q42" s="7"/>
      <c r="R42" s="7"/>
      <c r="S42" s="7"/>
    </row>
    <row r="43" spans="1:19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8"/>
      <c r="M43" s="7"/>
      <c r="N43" s="8"/>
      <c r="O43" s="7"/>
      <c r="P43" s="7"/>
      <c r="Q43" s="7"/>
      <c r="R43" s="7"/>
      <c r="S43" s="7"/>
    </row>
    <row r="44" spans="1:19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8"/>
      <c r="M44" s="7"/>
      <c r="N44" s="8"/>
      <c r="O44" s="7"/>
      <c r="P44" s="7"/>
      <c r="Q44" s="7"/>
      <c r="R44" s="7"/>
      <c r="S44" s="7"/>
    </row>
    <row r="45" spans="1:19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8"/>
      <c r="M45" s="7"/>
      <c r="N45" s="8"/>
      <c r="O45" s="7"/>
      <c r="P45" s="7"/>
      <c r="Q45" s="7"/>
      <c r="R45" s="7"/>
      <c r="S45" s="7"/>
    </row>
    <row r="46" spans="1:19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8"/>
      <c r="M46" s="7"/>
      <c r="N46" s="8"/>
      <c r="O46" s="7"/>
      <c r="P46" s="7"/>
      <c r="Q46" s="7"/>
      <c r="R46" s="7"/>
      <c r="S46" s="7"/>
    </row>
    <row r="47" spans="1:19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</row>
    <row r="48" spans="1:19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</row>
    <row r="49" spans="1:19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1:19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1:19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1:19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1:19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1:19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</row>
    <row r="55" spans="1:19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</row>
    <row r="56" spans="1:19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</row>
  </sheetData>
  <mergeCells count="2">
    <mergeCell ref="K39:L39"/>
    <mergeCell ref="M39:N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pinButton1">
          <controlPr defaultSize="0" autoLine="0" r:id="rId5">
            <anchor moveWithCells="1">
              <from>
                <xdr:col>15</xdr:col>
                <xdr:colOff>444500</xdr:colOff>
                <xdr:row>6</xdr:row>
                <xdr:rowOff>120650</xdr:rowOff>
              </from>
              <to>
                <xdr:col>17</xdr:col>
                <xdr:colOff>336550</xdr:colOff>
                <xdr:row>7</xdr:row>
                <xdr:rowOff>158750</xdr:rowOff>
              </to>
            </anchor>
          </controlPr>
        </control>
      </mc:Choice>
      <mc:Fallback>
        <control shapeId="1030" r:id="rId4" name="SpinButton1"/>
      </mc:Fallback>
    </mc:AlternateContent>
    <mc:AlternateContent xmlns:mc="http://schemas.openxmlformats.org/markup-compatibility/2006">
      <mc:Choice Requires="x14">
        <control shapeId="1031" r:id="rId6" name="Spinner 7">
          <controlPr defaultSize="0" autoPict="0" macro="[0]!TopN_Customers">
            <anchor moveWithCells="1" sizeWithCells="1">
              <from>
                <xdr:col>15</xdr:col>
                <xdr:colOff>482600</xdr:colOff>
                <xdr:row>6</xdr:row>
                <xdr:rowOff>120650</xdr:rowOff>
              </from>
              <to>
                <xdr:col>18</xdr:col>
                <xdr:colOff>546100</xdr:colOff>
                <xdr:row>7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6"/>
  <sheetViews>
    <sheetView workbookViewId="0">
      <selection activeCell="E33" sqref="E33"/>
    </sheetView>
  </sheetViews>
  <sheetFormatPr defaultRowHeight="14.5" x14ac:dyDescent="0.35"/>
  <cols>
    <col min="1" max="1" width="9.7265625" customWidth="1"/>
    <col min="2" max="2" width="22.36328125" customWidth="1"/>
    <col min="3" max="3" width="7.1796875" customWidth="1"/>
    <col min="4" max="4" width="17.26953125" bestFit="1" customWidth="1"/>
    <col min="5" max="5" width="22.6328125" bestFit="1" customWidth="1"/>
    <col min="6" max="6" width="6.08984375" customWidth="1"/>
    <col min="7" max="7" width="13.1796875" bestFit="1" customWidth="1"/>
    <col min="8" max="8" width="22.6328125" bestFit="1" customWidth="1"/>
    <col min="9" max="9" width="14.26953125" customWidth="1"/>
    <col min="11" max="11" width="21.1796875" bestFit="1" customWidth="1"/>
    <col min="12" max="12" width="15.453125" bestFit="1" customWidth="1"/>
    <col min="13" max="13" width="19.08984375" customWidth="1"/>
    <col min="14" max="14" width="17.54296875" customWidth="1"/>
    <col min="15" max="15" width="10.81640625" bestFit="1" customWidth="1"/>
  </cols>
  <sheetData>
    <row r="1" spans="1:15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35">
      <c r="A2" s="23" t="s">
        <v>1465</v>
      </c>
      <c r="B2" s="23"/>
      <c r="C2" s="7"/>
      <c r="D2" s="23" t="s">
        <v>1466</v>
      </c>
      <c r="E2" s="23"/>
      <c r="F2" s="7"/>
      <c r="G2" s="23" t="s">
        <v>1467</v>
      </c>
      <c r="H2" s="23"/>
      <c r="I2" s="7"/>
      <c r="J2" s="23" t="s">
        <v>1468</v>
      </c>
      <c r="K2" s="23"/>
      <c r="L2" s="23"/>
      <c r="M2" s="23"/>
      <c r="N2" s="23"/>
      <c r="O2" s="7"/>
    </row>
    <row r="3" spans="1:15" x14ac:dyDescent="0.35">
      <c r="A3" s="4" t="s">
        <v>4</v>
      </c>
      <c r="B3" t="s">
        <v>1460</v>
      </c>
      <c r="C3" s="7"/>
      <c r="D3" s="4" t="s">
        <v>3</v>
      </c>
      <c r="E3" t="s">
        <v>1460</v>
      </c>
      <c r="F3" s="7"/>
      <c r="G3" s="4" t="s">
        <v>3</v>
      </c>
      <c r="H3" t="s">
        <v>1457</v>
      </c>
      <c r="I3" s="7"/>
      <c r="J3" s="4" t="s">
        <v>3</v>
      </c>
      <c r="K3" t="s">
        <v>1458</v>
      </c>
      <c r="L3" t="s">
        <v>1457</v>
      </c>
      <c r="M3" s="6" t="s">
        <v>1459</v>
      </c>
      <c r="N3" s="6" t="s">
        <v>1461</v>
      </c>
      <c r="O3" s="7"/>
    </row>
    <row r="4" spans="1:15" x14ac:dyDescent="0.35">
      <c r="A4" t="s">
        <v>29</v>
      </c>
      <c r="B4" s="1">
        <v>1303699.43</v>
      </c>
      <c r="C4" s="7"/>
      <c r="D4" t="s">
        <v>25</v>
      </c>
      <c r="E4" s="1">
        <v>4786421.22</v>
      </c>
      <c r="F4" s="7"/>
      <c r="G4" t="s">
        <v>35</v>
      </c>
      <c r="H4" s="1">
        <v>13179265</v>
      </c>
      <c r="I4" s="7"/>
      <c r="J4" t="s">
        <v>25</v>
      </c>
      <c r="K4" s="1">
        <v>4786421.22</v>
      </c>
      <c r="L4" s="1">
        <v>12981200</v>
      </c>
      <c r="M4">
        <f>L4-K4</f>
        <v>8194778.7800000003</v>
      </c>
      <c r="N4" s="5">
        <f>M4/L4</f>
        <v>0.63128052722398542</v>
      </c>
      <c r="O4" s="11" t="str">
        <f>IF(L4&lt;K4,"profit","loss")</f>
        <v>loss</v>
      </c>
    </row>
    <row r="5" spans="1:15" x14ac:dyDescent="0.35">
      <c r="A5" t="s">
        <v>48</v>
      </c>
      <c r="B5" s="1">
        <v>1293609.95</v>
      </c>
      <c r="C5" s="7"/>
      <c r="D5" t="s">
        <v>35</v>
      </c>
      <c r="E5" s="1">
        <v>2850832.43</v>
      </c>
      <c r="F5" s="7"/>
      <c r="G5" t="s">
        <v>15</v>
      </c>
      <c r="H5" s="1">
        <v>13131980</v>
      </c>
      <c r="I5" s="7"/>
      <c r="J5" t="s">
        <v>35</v>
      </c>
      <c r="K5" s="1">
        <v>2850832.43</v>
      </c>
      <c r="L5" s="1">
        <v>13179265</v>
      </c>
      <c r="M5" s="1">
        <f t="shared" ref="M5:M7" si="0">L5-K5</f>
        <v>10328432.57</v>
      </c>
      <c r="N5" s="5">
        <f t="shared" ref="N5:N7" si="1">M5/L5</f>
        <v>0.78368805620040272</v>
      </c>
      <c r="O5" s="11" t="str">
        <f t="shared" ref="O5:O8" si="2">IF(L5&lt;K5,"profit","loss")</f>
        <v>loss</v>
      </c>
    </row>
    <row r="6" spans="1:15" x14ac:dyDescent="0.35">
      <c r="A6" t="s">
        <v>57</v>
      </c>
      <c r="B6" s="1">
        <v>1146828.57</v>
      </c>
      <c r="C6" s="7"/>
      <c r="D6" t="s">
        <v>15</v>
      </c>
      <c r="E6" s="1">
        <v>2132718.2200000002</v>
      </c>
      <c r="F6" s="7"/>
      <c r="G6" t="s">
        <v>38</v>
      </c>
      <c r="H6" s="1">
        <v>13008087</v>
      </c>
      <c r="I6" s="7"/>
      <c r="J6" t="s">
        <v>15</v>
      </c>
      <c r="K6" s="1">
        <v>2132718.2200000002</v>
      </c>
      <c r="L6" s="1">
        <v>13131980</v>
      </c>
      <c r="M6" s="1">
        <f t="shared" si="0"/>
        <v>10999261.779999999</v>
      </c>
      <c r="N6" s="5">
        <f>M6/L6</f>
        <v>0.83759355253358592</v>
      </c>
      <c r="O6" s="11" t="str">
        <f t="shared" si="2"/>
        <v>loss</v>
      </c>
    </row>
    <row r="7" spans="1:15" x14ac:dyDescent="0.35">
      <c r="A7" t="s">
        <v>16</v>
      </c>
      <c r="B7" s="1">
        <v>1026654.4</v>
      </c>
      <c r="C7" s="7"/>
      <c r="D7" t="s">
        <v>38</v>
      </c>
      <c r="E7" s="1">
        <v>2048003.09</v>
      </c>
      <c r="F7" s="7"/>
      <c r="G7" t="s">
        <v>25</v>
      </c>
      <c r="H7" s="1">
        <v>12981200</v>
      </c>
      <c r="I7" s="7"/>
      <c r="J7" t="s">
        <v>38</v>
      </c>
      <c r="K7" s="1">
        <v>2048003.09</v>
      </c>
      <c r="L7" s="1">
        <v>13008087</v>
      </c>
      <c r="M7" s="1">
        <f t="shared" si="0"/>
        <v>10960083.91</v>
      </c>
      <c r="N7" s="5">
        <f t="shared" si="1"/>
        <v>0.84255924103213642</v>
      </c>
      <c r="O7" s="11" t="str">
        <f t="shared" si="2"/>
        <v>loss</v>
      </c>
    </row>
    <row r="8" spans="1:15" x14ac:dyDescent="0.35">
      <c r="A8" t="s">
        <v>189</v>
      </c>
      <c r="B8" s="1">
        <v>988499.2</v>
      </c>
      <c r="C8" s="7"/>
      <c r="D8" t="s">
        <v>1454</v>
      </c>
      <c r="E8" s="1">
        <v>11817974.960000001</v>
      </c>
      <c r="F8" s="7"/>
      <c r="G8" t="s">
        <v>1454</v>
      </c>
      <c r="H8" s="1">
        <v>52300532</v>
      </c>
      <c r="I8" s="7"/>
      <c r="J8" t="s">
        <v>1454</v>
      </c>
      <c r="K8" s="1">
        <v>11817974.960000001</v>
      </c>
      <c r="L8" s="1">
        <v>52300532</v>
      </c>
      <c r="M8" s="9">
        <f>L8-K8</f>
        <v>40482557.039999999</v>
      </c>
      <c r="N8" s="10">
        <f>M8/L8</f>
        <v>0.77403719411496619</v>
      </c>
      <c r="O8" s="11" t="str">
        <f t="shared" si="2"/>
        <v>loss</v>
      </c>
    </row>
    <row r="9" spans="1:15" x14ac:dyDescent="0.35">
      <c r="A9" t="s">
        <v>26</v>
      </c>
      <c r="B9" s="1">
        <v>962087.48</v>
      </c>
      <c r="C9" s="7"/>
      <c r="D9" s="7"/>
      <c r="E9" s="7"/>
      <c r="F9" s="7"/>
      <c r="G9" s="7"/>
      <c r="H9" s="7"/>
      <c r="I9" s="7"/>
      <c r="J9" s="7"/>
      <c r="K9" s="7"/>
      <c r="L9" s="8"/>
      <c r="M9" s="8"/>
      <c r="N9" s="7"/>
      <c r="O9" s="7"/>
    </row>
    <row r="10" spans="1:15" x14ac:dyDescent="0.35">
      <c r="A10" t="s">
        <v>32</v>
      </c>
      <c r="B10" s="1">
        <v>906443.14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5">
      <c r="A11" t="s">
        <v>60</v>
      </c>
      <c r="B11" s="1">
        <v>889783.72</v>
      </c>
      <c r="C11" s="7"/>
      <c r="D11" s="23" t="s">
        <v>1497</v>
      </c>
      <c r="E11" s="23"/>
      <c r="F11" s="7"/>
      <c r="G11" s="23" t="s">
        <v>1469</v>
      </c>
      <c r="H11" s="23"/>
      <c r="I11" s="7"/>
      <c r="J11" s="23" t="s">
        <v>1470</v>
      </c>
      <c r="K11" s="23"/>
      <c r="L11" s="23"/>
      <c r="M11" s="23"/>
      <c r="N11" s="23"/>
      <c r="O11" s="7"/>
    </row>
    <row r="12" spans="1:15" x14ac:dyDescent="0.35">
      <c r="A12" t="s">
        <v>44</v>
      </c>
      <c r="B12" s="1">
        <v>871014.16</v>
      </c>
      <c r="C12" s="7"/>
      <c r="D12" s="4" t="s">
        <v>3</v>
      </c>
      <c r="E12" t="s">
        <v>1471</v>
      </c>
      <c r="F12" s="7"/>
      <c r="G12" s="4" t="s">
        <v>5</v>
      </c>
      <c r="H12" t="s">
        <v>1460</v>
      </c>
      <c r="I12" s="7"/>
      <c r="J12" s="4" t="s">
        <v>3</v>
      </c>
      <c r="K12" t="s">
        <v>1462</v>
      </c>
      <c r="L12" t="s">
        <v>1502</v>
      </c>
      <c r="M12" s="6" t="s">
        <v>1463</v>
      </c>
      <c r="N12" s="6" t="s">
        <v>1503</v>
      </c>
      <c r="O12" s="7"/>
    </row>
    <row r="13" spans="1:15" x14ac:dyDescent="0.35">
      <c r="A13" t="s">
        <v>39</v>
      </c>
      <c r="B13" s="1">
        <v>850262.77</v>
      </c>
      <c r="C13" s="7"/>
      <c r="D13" t="s">
        <v>38</v>
      </c>
      <c r="E13" s="1">
        <v>163</v>
      </c>
      <c r="F13" s="7"/>
      <c r="G13" t="s">
        <v>17</v>
      </c>
      <c r="H13" s="1">
        <v>4188794.97</v>
      </c>
      <c r="I13" s="7"/>
      <c r="J13" t="s">
        <v>15</v>
      </c>
      <c r="K13" s="1">
        <v>8270649</v>
      </c>
      <c r="L13" s="1">
        <v>4717470</v>
      </c>
      <c r="M13">
        <f>K13-L13</f>
        <v>3553179</v>
      </c>
      <c r="N13" t="str">
        <f>IF(L13&gt;K13,"not_good","good")</f>
        <v>good</v>
      </c>
      <c r="O13" s="11">
        <f>M13/K13</f>
        <v>0.42961308114997987</v>
      </c>
    </row>
    <row r="14" spans="1:15" x14ac:dyDescent="0.35">
      <c r="A14" t="s">
        <v>181</v>
      </c>
      <c r="B14" s="1">
        <v>834079.95</v>
      </c>
      <c r="C14" s="7"/>
      <c r="D14" t="s">
        <v>35</v>
      </c>
      <c r="E14" s="1">
        <v>237</v>
      </c>
      <c r="F14" s="7"/>
      <c r="G14" t="s">
        <v>45</v>
      </c>
      <c r="H14" s="1">
        <v>3896125.65</v>
      </c>
      <c r="I14" s="7"/>
      <c r="J14" t="s">
        <v>25</v>
      </c>
      <c r="K14" s="1">
        <v>8041705</v>
      </c>
      <c r="L14" s="1">
        <v>3774901</v>
      </c>
      <c r="M14">
        <f>K14-L14</f>
        <v>4266804</v>
      </c>
      <c r="N14" t="str">
        <f>IF(L14&gt;K14,"not_good","good")</f>
        <v>good</v>
      </c>
      <c r="O14" s="11">
        <f t="shared" ref="O14:O16" si="3">M14/K14</f>
        <v>0.53058449669566343</v>
      </c>
    </row>
    <row r="15" spans="1:15" x14ac:dyDescent="0.35">
      <c r="A15" t="s">
        <v>21</v>
      </c>
      <c r="B15" s="1">
        <v>745012.19</v>
      </c>
      <c r="C15" s="7"/>
      <c r="D15" t="s">
        <v>15</v>
      </c>
      <c r="E15" s="1">
        <v>196</v>
      </c>
      <c r="F15" s="7"/>
      <c r="G15" t="s">
        <v>22</v>
      </c>
      <c r="H15" s="1">
        <v>3733054.34</v>
      </c>
      <c r="I15" s="7"/>
      <c r="J15" t="s">
        <v>38</v>
      </c>
      <c r="K15" s="1">
        <v>7812136</v>
      </c>
      <c r="L15" s="1">
        <v>3914234</v>
      </c>
      <c r="M15">
        <f>K15-L15</f>
        <v>3897902</v>
      </c>
      <c r="N15" t="str">
        <f>IF(L15&gt;K15,"not_good","good")</f>
        <v>good</v>
      </c>
      <c r="O15" s="11">
        <f t="shared" si="3"/>
        <v>0.49895470329753605</v>
      </c>
    </row>
    <row r="16" spans="1:15" x14ac:dyDescent="0.35">
      <c r="A16" t="s">
        <v>1454</v>
      </c>
      <c r="B16" s="1">
        <v>11817974.960000001</v>
      </c>
      <c r="C16" s="7"/>
      <c r="D16" t="s">
        <v>25</v>
      </c>
      <c r="E16" s="1">
        <v>404</v>
      </c>
      <c r="F16" s="7"/>
      <c r="G16" t="s">
        <v>1454</v>
      </c>
      <c r="H16" s="1">
        <v>11817974.960000001</v>
      </c>
      <c r="I16" s="7"/>
      <c r="J16" t="s">
        <v>35</v>
      </c>
      <c r="K16" s="1">
        <v>7487180</v>
      </c>
      <c r="L16" s="1">
        <v>4725831</v>
      </c>
      <c r="M16">
        <f>K16-L16</f>
        <v>2761349</v>
      </c>
      <c r="N16" t="str">
        <f>IF(L16&gt;K16,"not_good","good")</f>
        <v>good</v>
      </c>
      <c r="O16" s="11">
        <f t="shared" si="3"/>
        <v>0.36881028638285712</v>
      </c>
    </row>
    <row r="17" spans="1:15" x14ac:dyDescent="0.35">
      <c r="A17" s="7"/>
      <c r="B17" s="7"/>
      <c r="C17" s="7"/>
      <c r="D17" t="s">
        <v>1454</v>
      </c>
      <c r="E17" s="1">
        <v>1000</v>
      </c>
      <c r="F17" s="7"/>
      <c r="G17" s="7"/>
      <c r="H17" s="7"/>
      <c r="I17" s="7"/>
      <c r="J17" t="s">
        <v>1454</v>
      </c>
      <c r="K17" s="1">
        <v>31611670</v>
      </c>
      <c r="L17" s="1">
        <v>17132436</v>
      </c>
      <c r="M17" s="9">
        <f>K17-L17</f>
        <v>14479234</v>
      </c>
      <c r="N17" s="9" t="str">
        <f>IF(L17&gt;K17,"not_good","good")</f>
        <v>good</v>
      </c>
      <c r="O17" s="11">
        <f>M17/K17</f>
        <v>0.45803445373180224</v>
      </c>
    </row>
    <row r="18" spans="1:15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x14ac:dyDescent="0.35">
      <c r="A19" s="23" t="s">
        <v>1482</v>
      </c>
      <c r="B19" s="23"/>
      <c r="C19" s="7"/>
      <c r="D19" s="23" t="s">
        <v>1488</v>
      </c>
      <c r="E19" s="23"/>
      <c r="F19" s="7"/>
      <c r="G19" s="23" t="s">
        <v>1505</v>
      </c>
      <c r="H19" s="23"/>
      <c r="I19" s="7"/>
      <c r="J19" s="23" t="s">
        <v>1480</v>
      </c>
      <c r="K19" s="23"/>
      <c r="L19" s="23"/>
      <c r="M19" s="23"/>
      <c r="N19" s="23"/>
      <c r="O19" s="7"/>
    </row>
    <row r="20" spans="1:15" x14ac:dyDescent="0.35">
      <c r="A20" s="4" t="s">
        <v>3</v>
      </c>
      <c r="B20" t="s">
        <v>1464</v>
      </c>
      <c r="C20" s="7"/>
      <c r="D20" s="19" t="s">
        <v>1462</v>
      </c>
      <c r="E20" s="19" t="s">
        <v>1457</v>
      </c>
      <c r="F20" s="7"/>
      <c r="G20" s="19" t="s">
        <v>1504</v>
      </c>
      <c r="H20" s="19" t="s">
        <v>1485</v>
      </c>
      <c r="I20" s="7"/>
      <c r="J20" s="4" t="s">
        <v>3</v>
      </c>
      <c r="K20" t="s">
        <v>1473</v>
      </c>
      <c r="L20" t="s">
        <v>1474</v>
      </c>
      <c r="M20" t="s">
        <v>1472</v>
      </c>
      <c r="N20" s="6" t="s">
        <v>1481</v>
      </c>
      <c r="O20" s="7"/>
    </row>
    <row r="21" spans="1:15" x14ac:dyDescent="0.35">
      <c r="A21" t="s">
        <v>25</v>
      </c>
      <c r="B21" s="1">
        <v>2197</v>
      </c>
      <c r="C21" s="7"/>
      <c r="D21" s="15">
        <v>31611670</v>
      </c>
      <c r="E21" s="15">
        <v>52300532</v>
      </c>
      <c r="F21" s="7"/>
      <c r="G21" s="15">
        <v>17132436</v>
      </c>
      <c r="H21" s="15">
        <v>11817974.960000001</v>
      </c>
      <c r="I21" s="7"/>
      <c r="J21" t="s">
        <v>38</v>
      </c>
      <c r="K21" s="1">
        <v>2397305</v>
      </c>
      <c r="L21" s="1">
        <v>349301.91</v>
      </c>
      <c r="M21" s="1">
        <v>2048003.09</v>
      </c>
      <c r="N21" s="5">
        <f>L21/K21</f>
        <v>0.14570607828373944</v>
      </c>
      <c r="O21" s="7"/>
    </row>
    <row r="22" spans="1:15" x14ac:dyDescent="0.35">
      <c r="A22" t="s">
        <v>35</v>
      </c>
      <c r="B22" s="1">
        <v>1337</v>
      </c>
      <c r="C22" s="7"/>
      <c r="D22" s="14" t="s">
        <v>1499</v>
      </c>
      <c r="E22" s="14">
        <f>IF(E21&gt;D21,E21-D21,"budget_expense_high")</f>
        <v>20688862</v>
      </c>
      <c r="F22" s="7"/>
      <c r="G22" s="14" t="s">
        <v>1501</v>
      </c>
      <c r="H22" s="14">
        <f>IF(H21&gt;G21,H21-G21,G21-H21)</f>
        <v>5314461.0399999991</v>
      </c>
      <c r="I22" s="7"/>
      <c r="J22" t="s">
        <v>35</v>
      </c>
      <c r="K22" s="1">
        <v>3405588</v>
      </c>
      <c r="L22" s="1">
        <v>554755.57000000007</v>
      </c>
      <c r="M22" s="1">
        <v>2850832.43</v>
      </c>
      <c r="N22" s="5">
        <f t="shared" ref="N22:N25" si="4">L22/K22</f>
        <v>0.16289567910152375</v>
      </c>
      <c r="O22" s="7"/>
    </row>
    <row r="23" spans="1:15" x14ac:dyDescent="0.35">
      <c r="A23" t="s">
        <v>15</v>
      </c>
      <c r="B23" s="1">
        <v>1000</v>
      </c>
      <c r="C23" s="7"/>
      <c r="D23" s="14" t="s">
        <v>1500</v>
      </c>
      <c r="E23" s="16">
        <f>E22/E21</f>
        <v>0.39557651153529377</v>
      </c>
      <c r="F23" s="7"/>
      <c r="G23" s="14" t="s">
        <v>1486</v>
      </c>
      <c r="H23" s="14" t="s">
        <v>1487</v>
      </c>
      <c r="I23" s="7"/>
      <c r="J23" t="s">
        <v>15</v>
      </c>
      <c r="K23" s="1">
        <v>2505398</v>
      </c>
      <c r="L23" s="1">
        <v>372679.77999999991</v>
      </c>
      <c r="M23" s="1">
        <v>2132718.2200000002</v>
      </c>
      <c r="N23" s="5">
        <f t="shared" si="4"/>
        <v>0.14875072942502546</v>
      </c>
      <c r="O23" s="7"/>
    </row>
    <row r="24" spans="1:15" x14ac:dyDescent="0.35">
      <c r="A24" t="s">
        <v>38</v>
      </c>
      <c r="B24" s="1">
        <v>893</v>
      </c>
      <c r="C24" s="7"/>
      <c r="D24" s="7"/>
      <c r="E24" s="7"/>
      <c r="F24" s="7"/>
      <c r="G24" s="7"/>
      <c r="H24" s="7"/>
      <c r="I24" s="7"/>
      <c r="J24" t="s">
        <v>25</v>
      </c>
      <c r="K24" s="1">
        <v>5636831</v>
      </c>
      <c r="L24" s="1">
        <v>850409.78</v>
      </c>
      <c r="M24" s="1">
        <v>4786421.22</v>
      </c>
      <c r="N24" s="5">
        <f t="shared" si="4"/>
        <v>0.15086664475127959</v>
      </c>
      <c r="O24" s="7"/>
    </row>
    <row r="25" spans="1:15" x14ac:dyDescent="0.35">
      <c r="A25" t="s">
        <v>1454</v>
      </c>
      <c r="B25" s="1">
        <v>5427</v>
      </c>
      <c r="C25" s="7"/>
      <c r="D25" s="23" t="s">
        <v>1498</v>
      </c>
      <c r="E25" s="23"/>
      <c r="F25" s="7"/>
      <c r="G25" s="7"/>
      <c r="H25" s="7"/>
      <c r="I25" s="7"/>
      <c r="J25" t="s">
        <v>1454</v>
      </c>
      <c r="K25" s="1">
        <v>13945122</v>
      </c>
      <c r="L25" s="1">
        <v>2127147.0400000033</v>
      </c>
      <c r="M25" s="1">
        <v>11817974.960000001</v>
      </c>
      <c r="N25" s="12">
        <f t="shared" si="4"/>
        <v>0.15253699752501293</v>
      </c>
      <c r="O25" s="7"/>
    </row>
    <row r="26" spans="1:15" x14ac:dyDescent="0.35">
      <c r="A26" s="7"/>
      <c r="B26" s="7"/>
      <c r="C26" s="7"/>
      <c r="D26" s="4" t="s">
        <v>1494</v>
      </c>
      <c r="E26" t="s">
        <v>1471</v>
      </c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x14ac:dyDescent="0.35">
      <c r="A27" s="7"/>
      <c r="B27" s="7"/>
      <c r="C27" s="7"/>
      <c r="D27" t="s">
        <v>1491</v>
      </c>
      <c r="E27" s="1">
        <v>29</v>
      </c>
      <c r="F27" s="7"/>
      <c r="G27" s="23" t="s">
        <v>1509</v>
      </c>
      <c r="H27" s="23"/>
      <c r="I27" s="23"/>
      <c r="J27" s="7"/>
      <c r="K27" s="7"/>
      <c r="L27" s="7"/>
      <c r="M27" s="7"/>
      <c r="N27" s="7"/>
      <c r="O27" s="7"/>
    </row>
    <row r="28" spans="1:15" x14ac:dyDescent="0.35">
      <c r="A28" s="7"/>
      <c r="B28" s="7"/>
      <c r="C28" s="7"/>
      <c r="D28" t="s">
        <v>1492</v>
      </c>
      <c r="E28" s="1">
        <v>48</v>
      </c>
      <c r="F28" s="7"/>
      <c r="G28" s="4" t="s">
        <v>3</v>
      </c>
      <c r="H28" t="s">
        <v>1508</v>
      </c>
      <c r="I28" t="s">
        <v>1507</v>
      </c>
      <c r="J28" s="7"/>
      <c r="K28" s="7"/>
      <c r="L28" s="7"/>
      <c r="M28" s="7"/>
      <c r="N28" s="7"/>
      <c r="O28" s="7"/>
    </row>
    <row r="29" spans="1:15" x14ac:dyDescent="0.35">
      <c r="A29" s="7"/>
      <c r="B29" s="7"/>
      <c r="C29" s="7"/>
      <c r="D29" t="s">
        <v>1493</v>
      </c>
      <c r="E29" s="1">
        <v>41</v>
      </c>
      <c r="F29" s="7"/>
      <c r="G29" t="s">
        <v>38</v>
      </c>
      <c r="H29" s="1">
        <v>2048003.09</v>
      </c>
      <c r="I29" s="1">
        <v>3914234</v>
      </c>
      <c r="J29" s="7"/>
      <c r="K29" s="7"/>
      <c r="L29" s="7"/>
      <c r="M29" s="7"/>
      <c r="N29" s="7"/>
      <c r="O29" s="7"/>
    </row>
    <row r="30" spans="1:15" x14ac:dyDescent="0.35">
      <c r="A30" s="7"/>
      <c r="B30" s="7"/>
      <c r="C30" s="7"/>
      <c r="D30" t="s">
        <v>1490</v>
      </c>
      <c r="E30" s="1">
        <v>82</v>
      </c>
      <c r="F30" s="7"/>
      <c r="G30" t="s">
        <v>35</v>
      </c>
      <c r="H30" s="1">
        <v>2850832.43</v>
      </c>
      <c r="I30" s="1">
        <v>4725831</v>
      </c>
      <c r="J30" s="7"/>
      <c r="K30" s="7"/>
      <c r="L30" s="7"/>
      <c r="M30" s="7"/>
      <c r="N30" s="7"/>
      <c r="O30" s="7"/>
    </row>
    <row r="31" spans="1:15" x14ac:dyDescent="0.35">
      <c r="A31" s="7"/>
      <c r="B31" s="7"/>
      <c r="C31" s="7"/>
      <c r="D31" t="s">
        <v>1454</v>
      </c>
      <c r="E31" s="1">
        <v>200</v>
      </c>
      <c r="F31" s="7"/>
      <c r="G31" t="s">
        <v>15</v>
      </c>
      <c r="H31" s="1">
        <v>2132718.2200000002</v>
      </c>
      <c r="I31" s="1">
        <v>4717470</v>
      </c>
      <c r="J31" s="7"/>
      <c r="K31" s="7"/>
      <c r="L31" s="7"/>
      <c r="M31" s="7"/>
      <c r="N31" s="7"/>
      <c r="O31" s="7"/>
    </row>
    <row r="32" spans="1:15" x14ac:dyDescent="0.35">
      <c r="A32" s="7"/>
      <c r="B32" s="7"/>
      <c r="C32" s="7"/>
      <c r="D32" s="7"/>
      <c r="E32" s="7"/>
      <c r="F32" s="7"/>
      <c r="G32" t="s">
        <v>25</v>
      </c>
      <c r="H32" s="1">
        <v>4786421.22</v>
      </c>
      <c r="I32" s="1">
        <v>3774901</v>
      </c>
      <c r="J32" s="7"/>
      <c r="K32" s="7"/>
      <c r="L32" s="7"/>
      <c r="M32" s="7"/>
      <c r="N32" s="7"/>
      <c r="O32" s="7"/>
    </row>
    <row r="33" spans="1:15" x14ac:dyDescent="0.35">
      <c r="A33" s="7"/>
      <c r="B33" s="7"/>
      <c r="C33" s="7"/>
      <c r="D33" s="7"/>
      <c r="E33" s="7"/>
      <c r="F33" s="7"/>
      <c r="G33" t="s">
        <v>1454</v>
      </c>
      <c r="H33" s="1">
        <v>11817974.960000001</v>
      </c>
      <c r="I33" s="1">
        <v>17132436</v>
      </c>
      <c r="J33" s="7"/>
      <c r="K33" s="7"/>
      <c r="L33" s="7"/>
      <c r="M33" s="7"/>
      <c r="N33" s="7"/>
      <c r="O33" s="7"/>
    </row>
    <row r="34" spans="1:15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</sheetData>
  <mergeCells count="13">
    <mergeCell ref="J19:N19"/>
    <mergeCell ref="A2:B2"/>
    <mergeCell ref="D2:E2"/>
    <mergeCell ref="G2:H2"/>
    <mergeCell ref="J2:N2"/>
    <mergeCell ref="G11:H11"/>
    <mergeCell ref="J11:N11"/>
    <mergeCell ref="D11:E11"/>
    <mergeCell ref="D25:E25"/>
    <mergeCell ref="D19:E19"/>
    <mergeCell ref="G19:H19"/>
    <mergeCell ref="A19:B19"/>
    <mergeCell ref="G27:I27"/>
  </mergeCells>
  <pageMargins left="0.7" right="0.7" top="0.75" bottom="0.75" header="0.3" footer="0.3"/>
  <pageSetup paperSize="9" orientation="portrait" r:id="rId14"/>
  <drawing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04"/>
  <sheetViews>
    <sheetView workbookViewId="0">
      <selection activeCell="F9" sqref="F9"/>
    </sheetView>
  </sheetViews>
  <sheetFormatPr defaultRowHeight="14.5" x14ac:dyDescent="0.35"/>
  <cols>
    <col min="1" max="1" width="10.81640625" bestFit="1" customWidth="1"/>
    <col min="2" max="2" width="10.453125" bestFit="1" customWidth="1"/>
    <col min="3" max="3" width="17.1796875" bestFit="1" customWidth="1"/>
    <col min="5" max="5" width="9.54296875" bestFit="1" customWidth="1"/>
    <col min="6" max="6" width="13.1796875" bestFit="1" customWidth="1"/>
    <col min="7" max="7" width="10.26953125" bestFit="1" customWidth="1"/>
    <col min="8" max="8" width="11.54296875" bestFit="1" customWidth="1"/>
    <col min="9" max="9" width="24.54296875" bestFit="1" customWidth="1"/>
    <col min="10" max="10" width="17.81640625" bestFit="1" customWidth="1"/>
    <col min="11" max="11" width="12.81640625" bestFit="1" customWidth="1"/>
    <col min="12" max="12" width="15" bestFit="1" customWidth="1"/>
    <col min="13" max="13" width="14.8164062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5">
      <c r="A2" s="1" t="s">
        <v>13</v>
      </c>
      <c r="B2" s="2">
        <v>45089</v>
      </c>
      <c r="C2" s="1" t="s">
        <v>14</v>
      </c>
      <c r="D2" s="1" t="s">
        <v>1490</v>
      </c>
      <c r="E2" s="1" t="s">
        <v>16</v>
      </c>
      <c r="F2" s="1" t="s">
        <v>17</v>
      </c>
      <c r="G2" s="1">
        <v>4</v>
      </c>
      <c r="H2" s="1">
        <v>1573</v>
      </c>
      <c r="I2" s="1">
        <v>6292</v>
      </c>
      <c r="J2" s="1">
        <v>755.04</v>
      </c>
      <c r="K2" s="1">
        <v>0.12</v>
      </c>
      <c r="L2" s="1">
        <v>5536.96</v>
      </c>
      <c r="M2" s="1" t="s">
        <v>18</v>
      </c>
    </row>
    <row r="3" spans="1:13" x14ac:dyDescent="0.35">
      <c r="A3" s="1" t="s">
        <v>19</v>
      </c>
      <c r="B3" s="2">
        <v>45075</v>
      </c>
      <c r="C3" s="1" t="s">
        <v>20</v>
      </c>
      <c r="D3" s="1" t="s">
        <v>1490</v>
      </c>
      <c r="E3" s="1" t="s">
        <v>21</v>
      </c>
      <c r="F3" s="1" t="s">
        <v>22</v>
      </c>
      <c r="G3" s="1">
        <v>4</v>
      </c>
      <c r="H3" s="1">
        <v>2668</v>
      </c>
      <c r="I3" s="1">
        <v>10672</v>
      </c>
      <c r="J3" s="1">
        <v>426.88</v>
      </c>
      <c r="K3" s="1">
        <v>0.04</v>
      </c>
      <c r="L3" s="1">
        <v>10245.120000000001</v>
      </c>
      <c r="M3" s="1" t="s">
        <v>18</v>
      </c>
    </row>
    <row r="4" spans="1:13" x14ac:dyDescent="0.35">
      <c r="A4" s="1" t="s">
        <v>23</v>
      </c>
      <c r="B4" s="2">
        <v>45571</v>
      </c>
      <c r="C4" s="1" t="s">
        <v>24</v>
      </c>
      <c r="D4" s="1" t="s">
        <v>1491</v>
      </c>
      <c r="E4" s="1" t="s">
        <v>26</v>
      </c>
      <c r="F4" s="1" t="s">
        <v>17</v>
      </c>
      <c r="G4" s="1">
        <v>6</v>
      </c>
      <c r="H4" s="1">
        <v>4136</v>
      </c>
      <c r="I4" s="1">
        <v>24816</v>
      </c>
      <c r="J4" s="1">
        <v>744.48</v>
      </c>
      <c r="K4" s="1">
        <v>0.03</v>
      </c>
      <c r="L4" s="1">
        <v>24071.52</v>
      </c>
      <c r="M4" s="1" t="s">
        <v>18</v>
      </c>
    </row>
    <row r="5" spans="1:13" x14ac:dyDescent="0.35">
      <c r="A5" s="1" t="s">
        <v>27</v>
      </c>
      <c r="B5" s="2">
        <v>45302</v>
      </c>
      <c r="C5" s="1" t="s">
        <v>28</v>
      </c>
      <c r="D5" s="1" t="s">
        <v>1490</v>
      </c>
      <c r="E5" s="1" t="s">
        <v>29</v>
      </c>
      <c r="F5" s="1" t="s">
        <v>22</v>
      </c>
      <c r="G5" s="1">
        <v>7</v>
      </c>
      <c r="H5" s="1">
        <v>4733</v>
      </c>
      <c r="I5" s="1">
        <v>33131</v>
      </c>
      <c r="J5" s="1">
        <v>1987.86</v>
      </c>
      <c r="K5" s="1">
        <v>0.06</v>
      </c>
      <c r="L5" s="1">
        <v>31143.14</v>
      </c>
      <c r="M5" s="1" t="s">
        <v>18</v>
      </c>
    </row>
    <row r="6" spans="1:13" x14ac:dyDescent="0.35">
      <c r="A6" s="1" t="s">
        <v>30</v>
      </c>
      <c r="B6" s="2">
        <v>45185</v>
      </c>
      <c r="C6" s="1" t="s">
        <v>31</v>
      </c>
      <c r="D6" s="1" t="s">
        <v>1492</v>
      </c>
      <c r="E6" s="1" t="s">
        <v>32</v>
      </c>
      <c r="F6" s="1" t="s">
        <v>17</v>
      </c>
      <c r="G6" s="1">
        <v>8</v>
      </c>
      <c r="H6" s="1">
        <v>3112</v>
      </c>
      <c r="I6" s="1">
        <v>24896</v>
      </c>
      <c r="J6" s="1">
        <v>5477.12</v>
      </c>
      <c r="K6" s="1">
        <v>0.22</v>
      </c>
      <c r="L6" s="1">
        <v>19418.88</v>
      </c>
      <c r="M6" s="1" t="s">
        <v>18</v>
      </c>
    </row>
    <row r="7" spans="1:13" x14ac:dyDescent="0.35">
      <c r="A7" s="1" t="s">
        <v>33</v>
      </c>
      <c r="B7" s="2">
        <v>45155</v>
      </c>
      <c r="C7" s="1" t="s">
        <v>34</v>
      </c>
      <c r="D7" s="1" t="s">
        <v>1491</v>
      </c>
      <c r="E7" s="1" t="s">
        <v>21</v>
      </c>
      <c r="F7" s="1" t="s">
        <v>22</v>
      </c>
      <c r="G7" s="1">
        <v>7</v>
      </c>
      <c r="H7" s="1">
        <v>1682</v>
      </c>
      <c r="I7" s="1">
        <v>11774</v>
      </c>
      <c r="J7" s="1">
        <v>0</v>
      </c>
      <c r="K7" s="1">
        <v>0</v>
      </c>
      <c r="L7" s="1">
        <v>11774</v>
      </c>
      <c r="M7" s="1" t="s">
        <v>18</v>
      </c>
    </row>
    <row r="8" spans="1:13" x14ac:dyDescent="0.35">
      <c r="A8" s="1" t="s">
        <v>36</v>
      </c>
      <c r="B8" s="2">
        <v>45073</v>
      </c>
      <c r="C8" s="1" t="s">
        <v>37</v>
      </c>
      <c r="D8" s="1" t="s">
        <v>1493</v>
      </c>
      <c r="E8" s="1" t="s">
        <v>39</v>
      </c>
      <c r="F8" s="1" t="s">
        <v>22</v>
      </c>
      <c r="G8" s="1">
        <v>7</v>
      </c>
      <c r="H8" s="1">
        <v>3855</v>
      </c>
      <c r="I8" s="1">
        <v>26985</v>
      </c>
      <c r="J8" s="1">
        <v>7285.9500000000007</v>
      </c>
      <c r="K8" s="1">
        <v>0.27</v>
      </c>
      <c r="L8" s="1">
        <v>19699.05</v>
      </c>
      <c r="M8" s="1" t="s">
        <v>18</v>
      </c>
    </row>
    <row r="9" spans="1:13" x14ac:dyDescent="0.35">
      <c r="A9" s="1" t="s">
        <v>40</v>
      </c>
      <c r="B9" s="2">
        <v>45043</v>
      </c>
      <c r="C9" s="1" t="s">
        <v>41</v>
      </c>
      <c r="D9" s="1" t="s">
        <v>1490</v>
      </c>
      <c r="E9" s="1" t="s">
        <v>29</v>
      </c>
      <c r="F9" s="1" t="s">
        <v>22</v>
      </c>
      <c r="G9" s="1">
        <v>8</v>
      </c>
      <c r="H9" s="1">
        <v>3992</v>
      </c>
      <c r="I9" s="1">
        <v>31936</v>
      </c>
      <c r="J9" s="1">
        <v>5429.1200000000008</v>
      </c>
      <c r="K9" s="1">
        <v>0.17</v>
      </c>
      <c r="L9" s="1">
        <v>26506.880000000001</v>
      </c>
      <c r="M9" s="1" t="s">
        <v>18</v>
      </c>
    </row>
    <row r="10" spans="1:13" x14ac:dyDescent="0.35">
      <c r="A10" s="1" t="s">
        <v>42</v>
      </c>
      <c r="B10" s="2">
        <v>45408</v>
      </c>
      <c r="C10" s="1" t="s">
        <v>43</v>
      </c>
      <c r="D10" s="1" t="s">
        <v>1490</v>
      </c>
      <c r="E10" s="1" t="s">
        <v>44</v>
      </c>
      <c r="F10" s="1" t="s">
        <v>45</v>
      </c>
      <c r="G10" s="1">
        <v>6</v>
      </c>
      <c r="H10" s="1">
        <v>2570</v>
      </c>
      <c r="I10" s="1">
        <v>15420</v>
      </c>
      <c r="J10" s="1">
        <v>2004.6000000000001</v>
      </c>
      <c r="K10" s="1">
        <v>0.13</v>
      </c>
      <c r="L10" s="1">
        <v>13415.4</v>
      </c>
      <c r="M10" s="1" t="s">
        <v>18</v>
      </c>
    </row>
    <row r="11" spans="1:13" x14ac:dyDescent="0.35">
      <c r="A11" s="1" t="s">
        <v>46</v>
      </c>
      <c r="B11" s="2">
        <v>45572</v>
      </c>
      <c r="C11" s="1" t="s">
        <v>47</v>
      </c>
      <c r="D11" s="1" t="s">
        <v>1492</v>
      </c>
      <c r="E11" s="1" t="s">
        <v>48</v>
      </c>
      <c r="F11" s="1" t="s">
        <v>17</v>
      </c>
      <c r="G11" s="1">
        <v>8</v>
      </c>
      <c r="H11" s="1">
        <v>4674</v>
      </c>
      <c r="I11" s="1">
        <v>37392</v>
      </c>
      <c r="J11" s="1">
        <v>747.84</v>
      </c>
      <c r="K11" s="1">
        <v>0.02</v>
      </c>
      <c r="L11" s="1">
        <v>36644.160000000003</v>
      </c>
      <c r="M11" s="1" t="s">
        <v>18</v>
      </c>
    </row>
    <row r="12" spans="1:13" x14ac:dyDescent="0.35">
      <c r="A12" s="1" t="s">
        <v>49</v>
      </c>
      <c r="B12" s="2">
        <v>44953</v>
      </c>
      <c r="C12" s="1" t="s">
        <v>50</v>
      </c>
      <c r="D12" s="1" t="s">
        <v>1492</v>
      </c>
      <c r="E12" s="1" t="s">
        <v>44</v>
      </c>
      <c r="F12" s="1" t="s">
        <v>45</v>
      </c>
      <c r="G12" s="1">
        <v>9</v>
      </c>
      <c r="H12" s="1">
        <v>4520</v>
      </c>
      <c r="I12" s="1">
        <v>40680</v>
      </c>
      <c r="J12" s="1">
        <v>5695.2000000000007</v>
      </c>
      <c r="K12" s="1">
        <v>0.14000000000000001</v>
      </c>
      <c r="L12" s="1">
        <v>34984.800000000003</v>
      </c>
      <c r="M12" s="1" t="s">
        <v>18</v>
      </c>
    </row>
    <row r="13" spans="1:13" x14ac:dyDescent="0.35">
      <c r="A13" s="1" t="s">
        <v>51</v>
      </c>
      <c r="B13" s="2">
        <v>45558</v>
      </c>
      <c r="C13" s="1" t="s">
        <v>52</v>
      </c>
      <c r="D13" s="1" t="s">
        <v>1490</v>
      </c>
      <c r="E13" s="1" t="s">
        <v>16</v>
      </c>
      <c r="F13" s="1" t="s">
        <v>17</v>
      </c>
      <c r="G13" s="1">
        <v>6</v>
      </c>
      <c r="H13" s="1">
        <v>2971</v>
      </c>
      <c r="I13" s="1">
        <v>17826</v>
      </c>
      <c r="J13" s="1">
        <v>0</v>
      </c>
      <c r="K13" s="1">
        <v>0</v>
      </c>
      <c r="L13" s="1">
        <v>17826</v>
      </c>
      <c r="M13" s="1" t="s">
        <v>18</v>
      </c>
    </row>
    <row r="14" spans="1:13" x14ac:dyDescent="0.35">
      <c r="A14" s="1" t="s">
        <v>53</v>
      </c>
      <c r="B14" s="2">
        <v>45037</v>
      </c>
      <c r="C14" s="1" t="s">
        <v>54</v>
      </c>
      <c r="D14" s="1" t="s">
        <v>1490</v>
      </c>
      <c r="E14" s="1" t="s">
        <v>26</v>
      </c>
      <c r="F14" s="1" t="s">
        <v>17</v>
      </c>
      <c r="G14" s="1">
        <v>7</v>
      </c>
      <c r="H14" s="1">
        <v>2225</v>
      </c>
      <c r="I14" s="1">
        <v>15575</v>
      </c>
      <c r="J14" s="1">
        <v>3115</v>
      </c>
      <c r="K14" s="1">
        <v>0.2</v>
      </c>
      <c r="L14" s="1">
        <v>12460</v>
      </c>
      <c r="M14" s="1" t="s">
        <v>18</v>
      </c>
    </row>
    <row r="15" spans="1:13" x14ac:dyDescent="0.35">
      <c r="A15" s="1" t="s">
        <v>55</v>
      </c>
      <c r="B15" s="2">
        <v>45407</v>
      </c>
      <c r="C15" s="1" t="s">
        <v>56</v>
      </c>
      <c r="D15" s="1" t="s">
        <v>1490</v>
      </c>
      <c r="E15" s="1" t="s">
        <v>57</v>
      </c>
      <c r="F15" s="1" t="s">
        <v>45</v>
      </c>
      <c r="G15" s="1">
        <v>1</v>
      </c>
      <c r="H15" s="1">
        <v>3192</v>
      </c>
      <c r="I15" s="1">
        <v>3192</v>
      </c>
      <c r="J15" s="1">
        <v>861.84</v>
      </c>
      <c r="K15" s="1">
        <v>0.27</v>
      </c>
      <c r="L15" s="1">
        <v>2330.16</v>
      </c>
      <c r="M15" s="1" t="s">
        <v>18</v>
      </c>
    </row>
    <row r="16" spans="1:13" x14ac:dyDescent="0.35">
      <c r="A16" s="1" t="s">
        <v>58</v>
      </c>
      <c r="B16" s="2">
        <v>45280</v>
      </c>
      <c r="C16" s="1" t="s">
        <v>59</v>
      </c>
      <c r="D16" s="1" t="s">
        <v>1492</v>
      </c>
      <c r="E16" s="1" t="s">
        <v>60</v>
      </c>
      <c r="F16" s="1" t="s">
        <v>45</v>
      </c>
      <c r="G16" s="1">
        <v>2</v>
      </c>
      <c r="H16" s="1">
        <v>1886</v>
      </c>
      <c r="I16" s="1">
        <v>3772</v>
      </c>
      <c r="J16" s="1">
        <v>490.36</v>
      </c>
      <c r="K16" s="1">
        <v>0.13</v>
      </c>
      <c r="L16" s="1">
        <v>3281.64</v>
      </c>
      <c r="M16" s="1" t="s">
        <v>18</v>
      </c>
    </row>
    <row r="17" spans="1:13" x14ac:dyDescent="0.35">
      <c r="A17" s="1" t="s">
        <v>61</v>
      </c>
      <c r="B17" s="2">
        <v>45215</v>
      </c>
      <c r="C17" s="1" t="s">
        <v>62</v>
      </c>
      <c r="D17" s="1" t="s">
        <v>1492</v>
      </c>
      <c r="E17" s="1" t="s">
        <v>60</v>
      </c>
      <c r="F17" s="1" t="s">
        <v>45</v>
      </c>
      <c r="G17" s="1">
        <v>1</v>
      </c>
      <c r="H17" s="1">
        <v>2301</v>
      </c>
      <c r="I17" s="1">
        <v>2301</v>
      </c>
      <c r="J17" s="1">
        <v>92.04</v>
      </c>
      <c r="K17" s="1">
        <v>0.04</v>
      </c>
      <c r="L17" s="1">
        <v>2208.96</v>
      </c>
      <c r="M17" s="1" t="s">
        <v>18</v>
      </c>
    </row>
    <row r="18" spans="1:13" x14ac:dyDescent="0.35">
      <c r="A18" s="1" t="s">
        <v>159</v>
      </c>
      <c r="B18" s="2">
        <v>45314</v>
      </c>
      <c r="C18" s="1" t="s">
        <v>24</v>
      </c>
      <c r="D18" s="1" t="s">
        <v>1491</v>
      </c>
      <c r="E18" s="1" t="s">
        <v>29</v>
      </c>
      <c r="F18" s="1" t="s">
        <v>22</v>
      </c>
      <c r="G18" s="1">
        <v>2</v>
      </c>
      <c r="H18" s="1">
        <v>3012</v>
      </c>
      <c r="I18" s="1">
        <v>6024</v>
      </c>
      <c r="J18" s="1">
        <v>903.6</v>
      </c>
      <c r="K18" s="1">
        <v>0.15</v>
      </c>
      <c r="L18" s="1">
        <v>5120.3999999999996</v>
      </c>
      <c r="M18" s="1" t="s">
        <v>18</v>
      </c>
    </row>
    <row r="19" spans="1:13" x14ac:dyDescent="0.35">
      <c r="A19" s="1" t="s">
        <v>160</v>
      </c>
      <c r="B19" s="2">
        <v>45505</v>
      </c>
      <c r="C19" s="1" t="s">
        <v>161</v>
      </c>
      <c r="D19" s="1" t="s">
        <v>1490</v>
      </c>
      <c r="E19" s="1" t="s">
        <v>39</v>
      </c>
      <c r="F19" s="1" t="s">
        <v>22</v>
      </c>
      <c r="G19" s="1">
        <v>7</v>
      </c>
      <c r="H19" s="1">
        <v>2153</v>
      </c>
      <c r="I19" s="1">
        <v>15071</v>
      </c>
      <c r="J19" s="1">
        <v>1959.23</v>
      </c>
      <c r="K19" s="1">
        <v>0.13</v>
      </c>
      <c r="L19" s="1">
        <v>13111.77</v>
      </c>
      <c r="M19" s="1" t="s">
        <v>18</v>
      </c>
    </row>
    <row r="20" spans="1:13" x14ac:dyDescent="0.35">
      <c r="A20" s="1" t="s">
        <v>162</v>
      </c>
      <c r="B20" s="2">
        <v>45299</v>
      </c>
      <c r="C20" s="1" t="s">
        <v>163</v>
      </c>
      <c r="D20" s="1" t="s">
        <v>1490</v>
      </c>
      <c r="E20" s="1" t="s">
        <v>16</v>
      </c>
      <c r="F20" s="1" t="s">
        <v>17</v>
      </c>
      <c r="G20" s="1">
        <v>5</v>
      </c>
      <c r="H20" s="1">
        <v>4758</v>
      </c>
      <c r="I20" s="1">
        <v>23790</v>
      </c>
      <c r="J20" s="1">
        <v>237.9</v>
      </c>
      <c r="K20" s="1">
        <v>0.01</v>
      </c>
      <c r="L20" s="1">
        <v>23552.1</v>
      </c>
      <c r="M20" s="1" t="s">
        <v>18</v>
      </c>
    </row>
    <row r="21" spans="1:13" x14ac:dyDescent="0.35">
      <c r="A21" s="1" t="s">
        <v>164</v>
      </c>
      <c r="B21" s="2">
        <v>45570</v>
      </c>
      <c r="C21" s="1" t="s">
        <v>165</v>
      </c>
      <c r="D21" s="1" t="s">
        <v>1490</v>
      </c>
      <c r="E21" s="1" t="s">
        <v>16</v>
      </c>
      <c r="F21" s="1" t="s">
        <v>17</v>
      </c>
      <c r="G21" s="1">
        <v>10</v>
      </c>
      <c r="H21" s="1">
        <v>1265</v>
      </c>
      <c r="I21" s="1">
        <v>12650</v>
      </c>
      <c r="J21" s="1">
        <v>885.50000000000011</v>
      </c>
      <c r="K21" s="1">
        <v>7.0000000000000007E-2</v>
      </c>
      <c r="L21" s="1">
        <v>11764.5</v>
      </c>
      <c r="M21" s="1" t="s">
        <v>18</v>
      </c>
    </row>
    <row r="22" spans="1:13" x14ac:dyDescent="0.35">
      <c r="A22" s="1" t="s">
        <v>166</v>
      </c>
      <c r="B22" s="2">
        <v>45396</v>
      </c>
      <c r="C22" s="1" t="s">
        <v>31</v>
      </c>
      <c r="D22" s="1" t="s">
        <v>1492</v>
      </c>
      <c r="E22" s="1" t="s">
        <v>32</v>
      </c>
      <c r="F22" s="1" t="s">
        <v>17</v>
      </c>
      <c r="G22" s="1">
        <v>2</v>
      </c>
      <c r="H22" s="1">
        <v>2634</v>
      </c>
      <c r="I22" s="1">
        <v>5268</v>
      </c>
      <c r="J22" s="1">
        <v>842.88</v>
      </c>
      <c r="K22" s="1">
        <v>0.16</v>
      </c>
      <c r="L22" s="1">
        <v>4425.12</v>
      </c>
      <c r="M22" s="1" t="s">
        <v>18</v>
      </c>
    </row>
    <row r="23" spans="1:13" x14ac:dyDescent="0.35">
      <c r="A23" s="1" t="s">
        <v>167</v>
      </c>
      <c r="B23" s="2">
        <v>45168</v>
      </c>
      <c r="C23" s="1" t="s">
        <v>168</v>
      </c>
      <c r="D23" s="1" t="s">
        <v>1492</v>
      </c>
      <c r="E23" s="1" t="s">
        <v>26</v>
      </c>
      <c r="F23" s="1" t="s">
        <v>17</v>
      </c>
      <c r="G23" s="1">
        <v>9</v>
      </c>
      <c r="H23" s="1">
        <v>4148</v>
      </c>
      <c r="I23" s="1">
        <v>37332</v>
      </c>
      <c r="J23" s="1">
        <v>2613.2400000000002</v>
      </c>
      <c r="K23" s="1">
        <v>7.0000000000000007E-2</v>
      </c>
      <c r="L23" s="1">
        <v>34718.76</v>
      </c>
      <c r="M23" s="1" t="s">
        <v>18</v>
      </c>
    </row>
    <row r="24" spans="1:13" x14ac:dyDescent="0.35">
      <c r="A24" s="1" t="s">
        <v>169</v>
      </c>
      <c r="B24" s="2">
        <v>44987</v>
      </c>
      <c r="C24" s="1" t="s">
        <v>170</v>
      </c>
      <c r="D24" s="1" t="s">
        <v>1490</v>
      </c>
      <c r="E24" s="1" t="s">
        <v>26</v>
      </c>
      <c r="F24" s="1" t="s">
        <v>17</v>
      </c>
      <c r="G24" s="1">
        <v>10</v>
      </c>
      <c r="H24" s="1">
        <v>4701</v>
      </c>
      <c r="I24" s="1">
        <v>47010</v>
      </c>
      <c r="J24" s="1">
        <v>6581.4000000000005</v>
      </c>
      <c r="K24" s="1">
        <v>0.14000000000000001</v>
      </c>
      <c r="L24" s="1">
        <v>40428.6</v>
      </c>
      <c r="M24" s="1" t="s">
        <v>18</v>
      </c>
    </row>
    <row r="25" spans="1:13" x14ac:dyDescent="0.35">
      <c r="A25" s="1" t="s">
        <v>171</v>
      </c>
      <c r="B25" s="2">
        <v>45164</v>
      </c>
      <c r="C25" s="1" t="s">
        <v>172</v>
      </c>
      <c r="D25" s="1" t="s">
        <v>1493</v>
      </c>
      <c r="E25" s="1" t="s">
        <v>57</v>
      </c>
      <c r="F25" s="1" t="s">
        <v>45</v>
      </c>
      <c r="G25" s="1">
        <v>5</v>
      </c>
      <c r="H25" s="1">
        <v>670</v>
      </c>
      <c r="I25" s="1">
        <v>3350</v>
      </c>
      <c r="J25" s="1">
        <v>904.50000000000011</v>
      </c>
      <c r="K25" s="1">
        <v>0.27</v>
      </c>
      <c r="L25" s="1">
        <v>2445.5</v>
      </c>
      <c r="M25" s="1" t="s">
        <v>18</v>
      </c>
    </row>
    <row r="26" spans="1:13" x14ac:dyDescent="0.35">
      <c r="A26" s="1" t="s">
        <v>173</v>
      </c>
      <c r="B26" s="2">
        <v>45197</v>
      </c>
      <c r="C26" s="1" t="s">
        <v>97</v>
      </c>
      <c r="D26" s="1" t="s">
        <v>1491</v>
      </c>
      <c r="E26" s="1" t="s">
        <v>21</v>
      </c>
      <c r="F26" s="1" t="s">
        <v>22</v>
      </c>
      <c r="G26" s="1">
        <v>7</v>
      </c>
      <c r="H26" s="1">
        <v>1899</v>
      </c>
      <c r="I26" s="1">
        <v>13293</v>
      </c>
      <c r="J26" s="1">
        <v>1595.1599999999999</v>
      </c>
      <c r="K26" s="1">
        <v>0.12</v>
      </c>
      <c r="L26" s="1">
        <v>11697.84</v>
      </c>
      <c r="M26" s="1" t="s">
        <v>18</v>
      </c>
    </row>
    <row r="27" spans="1:13" x14ac:dyDescent="0.35">
      <c r="A27" s="1" t="s">
        <v>174</v>
      </c>
      <c r="B27" s="2">
        <v>45153</v>
      </c>
      <c r="C27" s="1" t="s">
        <v>175</v>
      </c>
      <c r="D27" s="1" t="s">
        <v>1491</v>
      </c>
      <c r="E27" s="1" t="s">
        <v>32</v>
      </c>
      <c r="F27" s="1" t="s">
        <v>17</v>
      </c>
      <c r="G27" s="1">
        <v>7</v>
      </c>
      <c r="H27" s="1">
        <v>1974</v>
      </c>
      <c r="I27" s="1">
        <v>13818</v>
      </c>
      <c r="J27" s="1">
        <v>1934.5200000000002</v>
      </c>
      <c r="K27" s="1">
        <v>0.14000000000000001</v>
      </c>
      <c r="L27" s="1">
        <v>11883.48</v>
      </c>
      <c r="M27" s="1" t="s">
        <v>18</v>
      </c>
    </row>
    <row r="28" spans="1:13" x14ac:dyDescent="0.35">
      <c r="A28" s="1" t="s">
        <v>176</v>
      </c>
      <c r="B28" s="2">
        <v>45302</v>
      </c>
      <c r="C28" s="1" t="s">
        <v>103</v>
      </c>
      <c r="D28" s="1" t="s">
        <v>1490</v>
      </c>
      <c r="E28" s="1" t="s">
        <v>29</v>
      </c>
      <c r="F28" s="1" t="s">
        <v>22</v>
      </c>
      <c r="G28" s="1">
        <v>7</v>
      </c>
      <c r="H28" s="1">
        <v>1936</v>
      </c>
      <c r="I28" s="1">
        <v>13552</v>
      </c>
      <c r="J28" s="1">
        <v>813.12</v>
      </c>
      <c r="K28" s="1">
        <v>0.06</v>
      </c>
      <c r="L28" s="1">
        <v>12738.88</v>
      </c>
      <c r="M28" s="1" t="s">
        <v>18</v>
      </c>
    </row>
    <row r="29" spans="1:13" x14ac:dyDescent="0.35">
      <c r="A29" s="1" t="s">
        <v>177</v>
      </c>
      <c r="B29" s="2">
        <v>45525</v>
      </c>
      <c r="C29" s="1" t="s">
        <v>178</v>
      </c>
      <c r="D29" s="1" t="s">
        <v>1490</v>
      </c>
      <c r="E29" s="1" t="s">
        <v>26</v>
      </c>
      <c r="F29" s="1" t="s">
        <v>17</v>
      </c>
      <c r="G29" s="1">
        <v>10</v>
      </c>
      <c r="H29" s="1">
        <v>1037</v>
      </c>
      <c r="I29" s="1">
        <v>10370</v>
      </c>
      <c r="J29" s="1">
        <v>2385.1</v>
      </c>
      <c r="K29" s="1">
        <v>0.23</v>
      </c>
      <c r="L29" s="1">
        <v>7984.9</v>
      </c>
      <c r="M29" s="1" t="s">
        <v>18</v>
      </c>
    </row>
    <row r="30" spans="1:13" x14ac:dyDescent="0.35">
      <c r="A30" s="1" t="s">
        <v>179</v>
      </c>
      <c r="B30" s="2">
        <v>45198</v>
      </c>
      <c r="C30" s="1" t="s">
        <v>180</v>
      </c>
      <c r="D30" s="1" t="s">
        <v>1490</v>
      </c>
      <c r="E30" s="1" t="s">
        <v>181</v>
      </c>
      <c r="F30" s="1" t="s">
        <v>22</v>
      </c>
      <c r="G30" s="1">
        <v>5</v>
      </c>
      <c r="H30" s="1">
        <v>1125</v>
      </c>
      <c r="I30" s="1">
        <v>5625</v>
      </c>
      <c r="J30" s="1">
        <v>1237.5</v>
      </c>
      <c r="K30" s="1">
        <v>0.22</v>
      </c>
      <c r="L30" s="1">
        <v>4387.5</v>
      </c>
      <c r="M30" s="1" t="s">
        <v>18</v>
      </c>
    </row>
    <row r="31" spans="1:13" x14ac:dyDescent="0.35">
      <c r="A31" s="1" t="s">
        <v>182</v>
      </c>
      <c r="B31" s="2">
        <v>45240</v>
      </c>
      <c r="C31" s="1" t="s">
        <v>183</v>
      </c>
      <c r="D31" s="1" t="s">
        <v>1490</v>
      </c>
      <c r="E31" s="1" t="s">
        <v>32</v>
      </c>
      <c r="F31" s="1" t="s">
        <v>17</v>
      </c>
      <c r="G31" s="1">
        <v>2</v>
      </c>
      <c r="H31" s="1">
        <v>122</v>
      </c>
      <c r="I31" s="1">
        <v>244</v>
      </c>
      <c r="J31" s="1">
        <v>68.320000000000007</v>
      </c>
      <c r="K31" s="1">
        <v>0.28000000000000003</v>
      </c>
      <c r="L31" s="1">
        <v>175.68</v>
      </c>
      <c r="M31" s="1" t="s">
        <v>18</v>
      </c>
    </row>
    <row r="32" spans="1:13" x14ac:dyDescent="0.35">
      <c r="A32" s="1" t="s">
        <v>184</v>
      </c>
      <c r="B32" s="2">
        <v>45366</v>
      </c>
      <c r="C32" s="1" t="s">
        <v>185</v>
      </c>
      <c r="D32" s="1" t="s">
        <v>1492</v>
      </c>
      <c r="E32" s="1" t="s">
        <v>29</v>
      </c>
      <c r="F32" s="1" t="s">
        <v>22</v>
      </c>
      <c r="G32" s="1">
        <v>7</v>
      </c>
      <c r="H32" s="1">
        <v>3159</v>
      </c>
      <c r="I32" s="1">
        <v>22113</v>
      </c>
      <c r="J32" s="1">
        <v>4201.47</v>
      </c>
      <c r="K32" s="1">
        <v>0.19</v>
      </c>
      <c r="L32" s="1">
        <v>17911.53</v>
      </c>
      <c r="M32" s="1" t="s">
        <v>18</v>
      </c>
    </row>
    <row r="33" spans="1:13" x14ac:dyDescent="0.35">
      <c r="A33" s="1" t="s">
        <v>186</v>
      </c>
      <c r="B33" s="2">
        <v>45530</v>
      </c>
      <c r="C33" s="1" t="s">
        <v>132</v>
      </c>
      <c r="D33" s="1" t="s">
        <v>1490</v>
      </c>
      <c r="E33" s="1" t="s">
        <v>21</v>
      </c>
      <c r="F33" s="1" t="s">
        <v>22</v>
      </c>
      <c r="G33" s="1">
        <v>9</v>
      </c>
      <c r="H33" s="1">
        <v>1039</v>
      </c>
      <c r="I33" s="1">
        <v>9351</v>
      </c>
      <c r="J33" s="1">
        <v>1589.67</v>
      </c>
      <c r="K33" s="1">
        <v>0.17</v>
      </c>
      <c r="L33" s="1">
        <v>7761.33</v>
      </c>
      <c r="M33" s="1" t="s">
        <v>18</v>
      </c>
    </row>
    <row r="34" spans="1:13" x14ac:dyDescent="0.35">
      <c r="A34" s="1" t="s">
        <v>187</v>
      </c>
      <c r="B34" s="2">
        <v>44969</v>
      </c>
      <c r="C34" s="1" t="s">
        <v>188</v>
      </c>
      <c r="D34" s="1" t="s">
        <v>1493</v>
      </c>
      <c r="E34" s="1" t="s">
        <v>189</v>
      </c>
      <c r="F34" s="1" t="s">
        <v>45</v>
      </c>
      <c r="G34" s="1">
        <v>6</v>
      </c>
      <c r="H34" s="1">
        <v>1458</v>
      </c>
      <c r="I34" s="1">
        <v>8748</v>
      </c>
      <c r="J34" s="1">
        <v>2274.48</v>
      </c>
      <c r="K34" s="1">
        <v>0.26</v>
      </c>
      <c r="L34" s="1">
        <v>6473.52</v>
      </c>
      <c r="M34" s="1" t="s">
        <v>18</v>
      </c>
    </row>
    <row r="35" spans="1:13" x14ac:dyDescent="0.35">
      <c r="A35" s="1" t="s">
        <v>190</v>
      </c>
      <c r="B35" s="2">
        <v>45392</v>
      </c>
      <c r="C35" s="1" t="s">
        <v>191</v>
      </c>
      <c r="D35" s="1" t="s">
        <v>1492</v>
      </c>
      <c r="E35" s="1" t="s">
        <v>21</v>
      </c>
      <c r="F35" s="1" t="s">
        <v>22</v>
      </c>
      <c r="G35" s="1">
        <v>9</v>
      </c>
      <c r="H35" s="1">
        <v>1302</v>
      </c>
      <c r="I35" s="1">
        <v>11718</v>
      </c>
      <c r="J35" s="1">
        <v>1757.7</v>
      </c>
      <c r="K35" s="1">
        <v>0.15</v>
      </c>
      <c r="L35" s="1">
        <v>9960.2999999999993</v>
      </c>
      <c r="M35" s="1" t="s">
        <v>18</v>
      </c>
    </row>
    <row r="36" spans="1:13" x14ac:dyDescent="0.35">
      <c r="A36" s="1" t="s">
        <v>192</v>
      </c>
      <c r="B36" s="2">
        <v>45582</v>
      </c>
      <c r="C36" s="1" t="s">
        <v>193</v>
      </c>
      <c r="D36" s="1" t="s">
        <v>1490</v>
      </c>
      <c r="E36" s="1" t="s">
        <v>21</v>
      </c>
      <c r="F36" s="1" t="s">
        <v>22</v>
      </c>
      <c r="G36" s="1">
        <v>2</v>
      </c>
      <c r="H36" s="1">
        <v>2606</v>
      </c>
      <c r="I36" s="1">
        <v>5212</v>
      </c>
      <c r="J36" s="1">
        <v>208.48000000000002</v>
      </c>
      <c r="K36" s="1">
        <v>0.04</v>
      </c>
      <c r="L36" s="1">
        <v>5003.5200000000004</v>
      </c>
      <c r="M36" s="1" t="s">
        <v>18</v>
      </c>
    </row>
    <row r="37" spans="1:13" x14ac:dyDescent="0.35">
      <c r="A37" s="1" t="s">
        <v>194</v>
      </c>
      <c r="B37" s="2">
        <v>45033</v>
      </c>
      <c r="C37" s="1" t="s">
        <v>97</v>
      </c>
      <c r="D37" s="1" t="s">
        <v>1491</v>
      </c>
      <c r="E37" s="1" t="s">
        <v>39</v>
      </c>
      <c r="F37" s="1" t="s">
        <v>22</v>
      </c>
      <c r="G37" s="1">
        <v>4</v>
      </c>
      <c r="H37" s="1">
        <v>3901</v>
      </c>
      <c r="I37" s="1">
        <v>15604</v>
      </c>
      <c r="J37" s="1">
        <v>2808.72</v>
      </c>
      <c r="K37" s="1">
        <v>0.18</v>
      </c>
      <c r="L37" s="1">
        <v>12795.28</v>
      </c>
      <c r="M37" s="1" t="s">
        <v>18</v>
      </c>
    </row>
    <row r="38" spans="1:13" x14ac:dyDescent="0.35">
      <c r="A38" s="1" t="s">
        <v>195</v>
      </c>
      <c r="B38" s="2">
        <v>45415</v>
      </c>
      <c r="C38" s="1" t="s">
        <v>196</v>
      </c>
      <c r="D38" s="1" t="s">
        <v>1493</v>
      </c>
      <c r="E38" s="1" t="s">
        <v>181</v>
      </c>
      <c r="F38" s="1" t="s">
        <v>22</v>
      </c>
      <c r="G38" s="1">
        <v>5</v>
      </c>
      <c r="H38" s="1">
        <v>4368</v>
      </c>
      <c r="I38" s="1">
        <v>21840</v>
      </c>
      <c r="J38" s="1">
        <v>655.19999999999993</v>
      </c>
      <c r="K38" s="1">
        <v>0.03</v>
      </c>
      <c r="L38" s="1">
        <v>21184.799999999999</v>
      </c>
      <c r="M38" s="1" t="s">
        <v>18</v>
      </c>
    </row>
    <row r="39" spans="1:13" x14ac:dyDescent="0.35">
      <c r="A39" s="1" t="s">
        <v>197</v>
      </c>
      <c r="B39" s="2">
        <v>45217</v>
      </c>
      <c r="C39" s="1" t="s">
        <v>198</v>
      </c>
      <c r="D39" s="1" t="s">
        <v>1493</v>
      </c>
      <c r="E39" s="1" t="s">
        <v>21</v>
      </c>
      <c r="F39" s="1" t="s">
        <v>22</v>
      </c>
      <c r="G39" s="1">
        <v>6</v>
      </c>
      <c r="H39" s="1">
        <v>1133</v>
      </c>
      <c r="I39" s="1">
        <v>6798</v>
      </c>
      <c r="J39" s="1">
        <v>339.90000000000003</v>
      </c>
      <c r="K39" s="1">
        <v>0.05</v>
      </c>
      <c r="L39" s="1">
        <v>6458.1</v>
      </c>
      <c r="M39" s="1" t="s">
        <v>18</v>
      </c>
    </row>
    <row r="40" spans="1:13" x14ac:dyDescent="0.35">
      <c r="A40" s="1" t="s">
        <v>199</v>
      </c>
      <c r="B40" s="2">
        <v>45178</v>
      </c>
      <c r="C40" s="1" t="s">
        <v>82</v>
      </c>
      <c r="D40" s="1" t="s">
        <v>1490</v>
      </c>
      <c r="E40" s="1" t="s">
        <v>60</v>
      </c>
      <c r="F40" s="1" t="s">
        <v>45</v>
      </c>
      <c r="G40" s="1">
        <v>6</v>
      </c>
      <c r="H40" s="1">
        <v>4094</v>
      </c>
      <c r="I40" s="1">
        <v>24564</v>
      </c>
      <c r="J40" s="1">
        <v>4175.88</v>
      </c>
      <c r="K40" s="1">
        <v>0.17</v>
      </c>
      <c r="L40" s="1">
        <v>20388.12</v>
      </c>
      <c r="M40" s="1" t="s">
        <v>18</v>
      </c>
    </row>
    <row r="41" spans="1:13" x14ac:dyDescent="0.35">
      <c r="A41" s="1" t="s">
        <v>200</v>
      </c>
      <c r="B41" s="2">
        <v>45135</v>
      </c>
      <c r="C41" s="1" t="s">
        <v>201</v>
      </c>
      <c r="D41" s="1" t="s">
        <v>1490</v>
      </c>
      <c r="E41" s="1" t="s">
        <v>39</v>
      </c>
      <c r="F41" s="1" t="s">
        <v>22</v>
      </c>
      <c r="G41" s="1">
        <v>7</v>
      </c>
      <c r="H41" s="1">
        <v>646</v>
      </c>
      <c r="I41" s="1">
        <v>4522</v>
      </c>
      <c r="J41" s="1">
        <v>768.74</v>
      </c>
      <c r="K41" s="1">
        <v>0.17</v>
      </c>
      <c r="L41" s="1">
        <v>3753.26</v>
      </c>
      <c r="M41" s="1" t="s">
        <v>18</v>
      </c>
    </row>
    <row r="42" spans="1:13" x14ac:dyDescent="0.35">
      <c r="A42" s="1" t="s">
        <v>202</v>
      </c>
      <c r="B42" s="2">
        <v>45342</v>
      </c>
      <c r="C42" s="1" t="s">
        <v>93</v>
      </c>
      <c r="D42" s="1" t="s">
        <v>1492</v>
      </c>
      <c r="E42" s="1" t="s">
        <v>32</v>
      </c>
      <c r="F42" s="1" t="s">
        <v>17</v>
      </c>
      <c r="G42" s="1">
        <v>3</v>
      </c>
      <c r="H42" s="1">
        <v>4095</v>
      </c>
      <c r="I42" s="1">
        <v>12285</v>
      </c>
      <c r="J42" s="1">
        <v>2088.4500000000003</v>
      </c>
      <c r="K42" s="1">
        <v>0.17</v>
      </c>
      <c r="L42" s="1">
        <v>10196.549999999999</v>
      </c>
      <c r="M42" s="1" t="s">
        <v>18</v>
      </c>
    </row>
    <row r="43" spans="1:13" x14ac:dyDescent="0.35">
      <c r="A43" s="1" t="s">
        <v>203</v>
      </c>
      <c r="B43" s="2">
        <v>45423</v>
      </c>
      <c r="C43" s="1" t="s">
        <v>204</v>
      </c>
      <c r="D43" s="1" t="s">
        <v>1490</v>
      </c>
      <c r="E43" s="1" t="s">
        <v>57</v>
      </c>
      <c r="F43" s="1" t="s">
        <v>45</v>
      </c>
      <c r="G43" s="1">
        <v>3</v>
      </c>
      <c r="H43" s="1">
        <v>2407</v>
      </c>
      <c r="I43" s="1">
        <v>7221</v>
      </c>
      <c r="J43" s="1">
        <v>649.89</v>
      </c>
      <c r="K43" s="1">
        <v>0.09</v>
      </c>
      <c r="L43" s="1">
        <v>6571.11</v>
      </c>
      <c r="M43" s="1" t="s">
        <v>18</v>
      </c>
    </row>
    <row r="44" spans="1:13" x14ac:dyDescent="0.35">
      <c r="A44" s="1" t="s">
        <v>205</v>
      </c>
      <c r="B44" s="2">
        <v>45161</v>
      </c>
      <c r="C44" s="1" t="s">
        <v>206</v>
      </c>
      <c r="D44" s="1" t="s">
        <v>1493</v>
      </c>
      <c r="E44" s="1" t="s">
        <v>29</v>
      </c>
      <c r="F44" s="1" t="s">
        <v>22</v>
      </c>
      <c r="G44" s="1">
        <v>7</v>
      </c>
      <c r="H44" s="1">
        <v>1982</v>
      </c>
      <c r="I44" s="1">
        <v>13874</v>
      </c>
      <c r="J44" s="1">
        <v>3607.2400000000002</v>
      </c>
      <c r="K44" s="1">
        <v>0.26</v>
      </c>
      <c r="L44" s="1">
        <v>10266.76</v>
      </c>
      <c r="M44" s="1" t="s">
        <v>18</v>
      </c>
    </row>
    <row r="45" spans="1:13" x14ac:dyDescent="0.35">
      <c r="A45" s="1" t="s">
        <v>207</v>
      </c>
      <c r="B45" s="2">
        <v>45103</v>
      </c>
      <c r="C45" s="1" t="s">
        <v>208</v>
      </c>
      <c r="D45" s="1" t="s">
        <v>1490</v>
      </c>
      <c r="E45" s="1" t="s">
        <v>26</v>
      </c>
      <c r="F45" s="1" t="s">
        <v>17</v>
      </c>
      <c r="G45" s="1">
        <v>2</v>
      </c>
      <c r="H45" s="1">
        <v>953</v>
      </c>
      <c r="I45" s="1">
        <v>1906</v>
      </c>
      <c r="J45" s="1">
        <v>57.18</v>
      </c>
      <c r="K45" s="1">
        <v>0.03</v>
      </c>
      <c r="L45" s="1">
        <v>1848.82</v>
      </c>
      <c r="M45" s="1" t="s">
        <v>18</v>
      </c>
    </row>
    <row r="46" spans="1:13" x14ac:dyDescent="0.35">
      <c r="A46" s="1" t="s">
        <v>209</v>
      </c>
      <c r="B46" s="2">
        <v>45248</v>
      </c>
      <c r="C46" s="1" t="s">
        <v>210</v>
      </c>
      <c r="D46" s="1" t="s">
        <v>1490</v>
      </c>
      <c r="E46" s="1" t="s">
        <v>21</v>
      </c>
      <c r="F46" s="1" t="s">
        <v>22</v>
      </c>
      <c r="G46" s="1">
        <v>3</v>
      </c>
      <c r="H46" s="1">
        <v>122</v>
      </c>
      <c r="I46" s="1">
        <v>366</v>
      </c>
      <c r="J46" s="1">
        <v>91.5</v>
      </c>
      <c r="K46" s="1">
        <v>0.25</v>
      </c>
      <c r="L46" s="1">
        <v>274.5</v>
      </c>
      <c r="M46" s="1" t="s">
        <v>18</v>
      </c>
    </row>
    <row r="47" spans="1:13" x14ac:dyDescent="0.35">
      <c r="A47" s="1" t="s">
        <v>211</v>
      </c>
      <c r="B47" s="2">
        <v>45629</v>
      </c>
      <c r="C47" s="1" t="s">
        <v>212</v>
      </c>
      <c r="D47" s="1" t="s">
        <v>1491</v>
      </c>
      <c r="E47" s="1" t="s">
        <v>26</v>
      </c>
      <c r="F47" s="1" t="s">
        <v>17</v>
      </c>
      <c r="G47" s="1">
        <v>2</v>
      </c>
      <c r="H47" s="1">
        <v>4674</v>
      </c>
      <c r="I47" s="1">
        <v>9348</v>
      </c>
      <c r="J47" s="1">
        <v>2056.56</v>
      </c>
      <c r="K47" s="1">
        <v>0.22</v>
      </c>
      <c r="L47" s="1">
        <v>7291.44</v>
      </c>
      <c r="M47" s="1" t="s">
        <v>18</v>
      </c>
    </row>
    <row r="48" spans="1:13" x14ac:dyDescent="0.35">
      <c r="A48" s="1" t="s">
        <v>213</v>
      </c>
      <c r="B48" s="2">
        <v>45279</v>
      </c>
      <c r="C48" s="1" t="s">
        <v>214</v>
      </c>
      <c r="D48" s="1" t="s">
        <v>1491</v>
      </c>
      <c r="E48" s="1" t="s">
        <v>189</v>
      </c>
      <c r="F48" s="1" t="s">
        <v>45</v>
      </c>
      <c r="G48" s="1">
        <v>3</v>
      </c>
      <c r="H48" s="1">
        <v>572</v>
      </c>
      <c r="I48" s="1">
        <v>1716</v>
      </c>
      <c r="J48" s="1">
        <v>394.68</v>
      </c>
      <c r="K48" s="1">
        <v>0.23</v>
      </c>
      <c r="L48" s="1">
        <v>1321.32</v>
      </c>
      <c r="M48" s="1" t="s">
        <v>18</v>
      </c>
    </row>
    <row r="49" spans="1:13" x14ac:dyDescent="0.35">
      <c r="A49" s="1" t="s">
        <v>215</v>
      </c>
      <c r="B49" s="2">
        <v>45175</v>
      </c>
      <c r="C49" s="1" t="s">
        <v>216</v>
      </c>
      <c r="D49" s="1" t="s">
        <v>1493</v>
      </c>
      <c r="E49" s="1" t="s">
        <v>44</v>
      </c>
      <c r="F49" s="1" t="s">
        <v>45</v>
      </c>
      <c r="G49" s="1">
        <v>7</v>
      </c>
      <c r="H49" s="1">
        <v>2260</v>
      </c>
      <c r="I49" s="1">
        <v>15820</v>
      </c>
      <c r="J49" s="1">
        <v>1582</v>
      </c>
      <c r="K49" s="1">
        <v>0.1</v>
      </c>
      <c r="L49" s="1">
        <v>14238</v>
      </c>
      <c r="M49" s="1" t="s">
        <v>18</v>
      </c>
    </row>
    <row r="50" spans="1:13" x14ac:dyDescent="0.35">
      <c r="A50" s="1" t="s">
        <v>217</v>
      </c>
      <c r="B50" s="2">
        <v>45567</v>
      </c>
      <c r="C50" s="1" t="s">
        <v>218</v>
      </c>
      <c r="D50" s="1" t="s">
        <v>1491</v>
      </c>
      <c r="E50" s="1" t="s">
        <v>60</v>
      </c>
      <c r="F50" s="1" t="s">
        <v>45</v>
      </c>
      <c r="G50" s="1">
        <v>7</v>
      </c>
      <c r="H50" s="1">
        <v>3283</v>
      </c>
      <c r="I50" s="1">
        <v>22981</v>
      </c>
      <c r="J50" s="1">
        <v>919.24</v>
      </c>
      <c r="K50" s="1">
        <v>0.04</v>
      </c>
      <c r="L50" s="1">
        <v>22061.759999999998</v>
      </c>
      <c r="M50" s="1" t="s">
        <v>18</v>
      </c>
    </row>
    <row r="51" spans="1:13" x14ac:dyDescent="0.35">
      <c r="A51" s="1" t="s">
        <v>219</v>
      </c>
      <c r="B51" s="2">
        <v>45424</v>
      </c>
      <c r="C51" s="1" t="s">
        <v>212</v>
      </c>
      <c r="D51" s="1" t="s">
        <v>1491</v>
      </c>
      <c r="E51" s="1" t="s">
        <v>29</v>
      </c>
      <c r="F51" s="1" t="s">
        <v>22</v>
      </c>
      <c r="G51" s="1">
        <v>2</v>
      </c>
      <c r="H51" s="1">
        <v>4963</v>
      </c>
      <c r="I51" s="1">
        <v>9926</v>
      </c>
      <c r="J51" s="1">
        <v>2878.54</v>
      </c>
      <c r="K51" s="1">
        <v>0.28999999999999998</v>
      </c>
      <c r="L51" s="1">
        <v>7047.46</v>
      </c>
      <c r="M51" s="1" t="s">
        <v>18</v>
      </c>
    </row>
    <row r="52" spans="1:13" x14ac:dyDescent="0.35">
      <c r="A52" s="1" t="s">
        <v>220</v>
      </c>
      <c r="B52" s="2">
        <v>45548</v>
      </c>
      <c r="C52" s="1" t="s">
        <v>105</v>
      </c>
      <c r="D52" s="1" t="s">
        <v>1493</v>
      </c>
      <c r="E52" s="1" t="s">
        <v>16</v>
      </c>
      <c r="F52" s="1" t="s">
        <v>17</v>
      </c>
      <c r="G52" s="1">
        <v>5</v>
      </c>
      <c r="H52" s="1">
        <v>2765</v>
      </c>
      <c r="I52" s="1">
        <v>13825</v>
      </c>
      <c r="J52" s="1">
        <v>1520.75</v>
      </c>
      <c r="K52" s="1">
        <v>0.11</v>
      </c>
      <c r="L52" s="1">
        <v>12304.25</v>
      </c>
      <c r="M52" s="1" t="s">
        <v>18</v>
      </c>
    </row>
    <row r="53" spans="1:13" x14ac:dyDescent="0.35">
      <c r="A53" s="1" t="s">
        <v>221</v>
      </c>
      <c r="B53" s="2">
        <v>45537</v>
      </c>
      <c r="C53" s="1" t="s">
        <v>188</v>
      </c>
      <c r="D53" s="1" t="s">
        <v>1493</v>
      </c>
      <c r="E53" s="1" t="s">
        <v>57</v>
      </c>
      <c r="F53" s="1" t="s">
        <v>45</v>
      </c>
      <c r="G53" s="1">
        <v>6</v>
      </c>
      <c r="H53" s="1">
        <v>2532</v>
      </c>
      <c r="I53" s="1">
        <v>15192</v>
      </c>
      <c r="J53" s="1">
        <v>2582.6400000000003</v>
      </c>
      <c r="K53" s="1">
        <v>0.17</v>
      </c>
      <c r="L53" s="1">
        <v>12609.36</v>
      </c>
      <c r="M53" s="1" t="s">
        <v>18</v>
      </c>
    </row>
    <row r="54" spans="1:13" x14ac:dyDescent="0.35">
      <c r="A54" s="1" t="s">
        <v>222</v>
      </c>
      <c r="B54" s="2">
        <v>44982</v>
      </c>
      <c r="C54" s="1" t="s">
        <v>223</v>
      </c>
      <c r="D54" s="1" t="s">
        <v>1492</v>
      </c>
      <c r="E54" s="1" t="s">
        <v>60</v>
      </c>
      <c r="F54" s="1" t="s">
        <v>45</v>
      </c>
      <c r="G54" s="1">
        <v>2</v>
      </c>
      <c r="H54" s="1">
        <v>3878</v>
      </c>
      <c r="I54" s="1">
        <v>7756</v>
      </c>
      <c r="J54" s="1">
        <v>2326.7999999999997</v>
      </c>
      <c r="K54" s="1">
        <v>0.3</v>
      </c>
      <c r="L54" s="1">
        <v>5429.2</v>
      </c>
      <c r="M54" s="1" t="s">
        <v>18</v>
      </c>
    </row>
    <row r="55" spans="1:13" x14ac:dyDescent="0.35">
      <c r="A55" s="1" t="s">
        <v>224</v>
      </c>
      <c r="B55" s="2">
        <v>45275</v>
      </c>
      <c r="C55" s="1" t="s">
        <v>225</v>
      </c>
      <c r="D55" s="1" t="s">
        <v>1490</v>
      </c>
      <c r="E55" s="1" t="s">
        <v>44</v>
      </c>
      <c r="F55" s="1" t="s">
        <v>45</v>
      </c>
      <c r="G55" s="1">
        <v>4</v>
      </c>
      <c r="H55" s="1">
        <v>1096</v>
      </c>
      <c r="I55" s="1">
        <v>4384</v>
      </c>
      <c r="J55" s="1">
        <v>394.56</v>
      </c>
      <c r="K55" s="1">
        <v>0.09</v>
      </c>
      <c r="L55" s="1">
        <v>3989.44</v>
      </c>
      <c r="M55" s="1" t="s">
        <v>18</v>
      </c>
    </row>
    <row r="56" spans="1:13" x14ac:dyDescent="0.35">
      <c r="A56" s="1" t="s">
        <v>226</v>
      </c>
      <c r="B56" s="2">
        <v>44978</v>
      </c>
      <c r="C56" s="1" t="s">
        <v>227</v>
      </c>
      <c r="D56" s="1" t="s">
        <v>1491</v>
      </c>
      <c r="E56" s="1" t="s">
        <v>16</v>
      </c>
      <c r="F56" s="1" t="s">
        <v>17</v>
      </c>
      <c r="G56" s="1">
        <v>4</v>
      </c>
      <c r="H56" s="1">
        <v>1073</v>
      </c>
      <c r="I56" s="1">
        <v>4292</v>
      </c>
      <c r="J56" s="1">
        <v>729.6400000000001</v>
      </c>
      <c r="K56" s="1">
        <v>0.17</v>
      </c>
      <c r="L56" s="1">
        <v>3562.36</v>
      </c>
      <c r="M56" s="1" t="s">
        <v>18</v>
      </c>
    </row>
    <row r="57" spans="1:13" x14ac:dyDescent="0.35">
      <c r="A57" s="1" t="s">
        <v>228</v>
      </c>
      <c r="B57" s="2">
        <v>45365</v>
      </c>
      <c r="C57" s="1" t="s">
        <v>229</v>
      </c>
      <c r="D57" s="1" t="s">
        <v>1492</v>
      </c>
      <c r="E57" s="1" t="s">
        <v>21</v>
      </c>
      <c r="F57" s="1" t="s">
        <v>22</v>
      </c>
      <c r="G57" s="1">
        <v>7</v>
      </c>
      <c r="H57" s="1">
        <v>620</v>
      </c>
      <c r="I57" s="1">
        <v>4340</v>
      </c>
      <c r="J57" s="1">
        <v>520.79999999999995</v>
      </c>
      <c r="K57" s="1">
        <v>0.12</v>
      </c>
      <c r="L57" s="1">
        <v>3819.2</v>
      </c>
      <c r="M57" s="1" t="s">
        <v>18</v>
      </c>
    </row>
    <row r="58" spans="1:13" x14ac:dyDescent="0.35">
      <c r="A58" s="1" t="s">
        <v>230</v>
      </c>
      <c r="B58" s="2">
        <v>45392</v>
      </c>
      <c r="C58" s="1" t="s">
        <v>231</v>
      </c>
      <c r="D58" s="1" t="s">
        <v>1491</v>
      </c>
      <c r="E58" s="1" t="s">
        <v>189</v>
      </c>
      <c r="F58" s="1" t="s">
        <v>45</v>
      </c>
      <c r="G58" s="1">
        <v>4</v>
      </c>
      <c r="H58" s="1">
        <v>205</v>
      </c>
      <c r="I58" s="1">
        <v>820</v>
      </c>
      <c r="J58" s="1">
        <v>106.60000000000001</v>
      </c>
      <c r="K58" s="1">
        <v>0.13</v>
      </c>
      <c r="L58" s="1">
        <v>713.4</v>
      </c>
      <c r="M58" s="1" t="s">
        <v>18</v>
      </c>
    </row>
    <row r="59" spans="1:13" x14ac:dyDescent="0.35">
      <c r="A59" s="1" t="s">
        <v>232</v>
      </c>
      <c r="B59" s="2">
        <v>45553</v>
      </c>
      <c r="C59" s="1" t="s">
        <v>150</v>
      </c>
      <c r="D59" s="1" t="s">
        <v>1490</v>
      </c>
      <c r="E59" s="1" t="s">
        <v>21</v>
      </c>
      <c r="F59" s="1" t="s">
        <v>22</v>
      </c>
      <c r="G59" s="1">
        <v>9</v>
      </c>
      <c r="H59" s="1">
        <v>1330</v>
      </c>
      <c r="I59" s="1">
        <v>11970</v>
      </c>
      <c r="J59" s="1">
        <v>1556.1000000000001</v>
      </c>
      <c r="K59" s="1">
        <v>0.13</v>
      </c>
      <c r="L59" s="1">
        <v>10413.9</v>
      </c>
      <c r="M59" s="1" t="s">
        <v>18</v>
      </c>
    </row>
    <row r="60" spans="1:13" x14ac:dyDescent="0.35">
      <c r="A60" s="1" t="s">
        <v>233</v>
      </c>
      <c r="B60" s="2">
        <v>45207</v>
      </c>
      <c r="C60" s="1" t="s">
        <v>37</v>
      </c>
      <c r="D60" s="1" t="s">
        <v>1493</v>
      </c>
      <c r="E60" s="1" t="s">
        <v>48</v>
      </c>
      <c r="F60" s="1" t="s">
        <v>17</v>
      </c>
      <c r="G60" s="1">
        <v>8</v>
      </c>
      <c r="H60" s="1">
        <v>4826</v>
      </c>
      <c r="I60" s="1">
        <v>38608</v>
      </c>
      <c r="J60" s="1">
        <v>3088.64</v>
      </c>
      <c r="K60" s="1">
        <v>0.08</v>
      </c>
      <c r="L60" s="1">
        <v>35519.360000000001</v>
      </c>
      <c r="M60" s="1" t="s">
        <v>18</v>
      </c>
    </row>
    <row r="61" spans="1:13" x14ac:dyDescent="0.35">
      <c r="A61" s="1" t="s">
        <v>234</v>
      </c>
      <c r="B61" s="2">
        <v>44983</v>
      </c>
      <c r="C61" s="1" t="s">
        <v>235</v>
      </c>
      <c r="D61" s="1" t="s">
        <v>1491</v>
      </c>
      <c r="E61" s="1" t="s">
        <v>29</v>
      </c>
      <c r="F61" s="1" t="s">
        <v>22</v>
      </c>
      <c r="G61" s="1">
        <v>9</v>
      </c>
      <c r="H61" s="1">
        <v>391</v>
      </c>
      <c r="I61" s="1">
        <v>3519</v>
      </c>
      <c r="J61" s="1">
        <v>211.14</v>
      </c>
      <c r="K61" s="1">
        <v>0.06</v>
      </c>
      <c r="L61" s="1">
        <v>3307.86</v>
      </c>
      <c r="M61" s="1" t="s">
        <v>18</v>
      </c>
    </row>
    <row r="62" spans="1:13" x14ac:dyDescent="0.35">
      <c r="A62" s="1" t="s">
        <v>236</v>
      </c>
      <c r="B62" s="2">
        <v>45297</v>
      </c>
      <c r="C62" s="1" t="s">
        <v>237</v>
      </c>
      <c r="D62" s="1" t="s">
        <v>1492</v>
      </c>
      <c r="E62" s="1" t="s">
        <v>29</v>
      </c>
      <c r="F62" s="1" t="s">
        <v>22</v>
      </c>
      <c r="G62" s="1">
        <v>5</v>
      </c>
      <c r="H62" s="1">
        <v>4549</v>
      </c>
      <c r="I62" s="1">
        <v>22745</v>
      </c>
      <c r="J62" s="1">
        <v>1592.15</v>
      </c>
      <c r="K62" s="1">
        <v>7.0000000000000007E-2</v>
      </c>
      <c r="L62" s="1">
        <v>21152.85</v>
      </c>
      <c r="M62" s="1" t="s">
        <v>18</v>
      </c>
    </row>
    <row r="63" spans="1:13" x14ac:dyDescent="0.35">
      <c r="A63" s="1" t="s">
        <v>238</v>
      </c>
      <c r="B63" s="2">
        <v>45532</v>
      </c>
      <c r="C63" s="1" t="s">
        <v>239</v>
      </c>
      <c r="D63" s="1" t="s">
        <v>1490</v>
      </c>
      <c r="E63" s="1" t="s">
        <v>57</v>
      </c>
      <c r="F63" s="1" t="s">
        <v>45</v>
      </c>
      <c r="G63" s="1">
        <v>2</v>
      </c>
      <c r="H63" s="1">
        <v>1604</v>
      </c>
      <c r="I63" s="1">
        <v>3208</v>
      </c>
      <c r="J63" s="1">
        <v>866.16000000000008</v>
      </c>
      <c r="K63" s="1">
        <v>0.27</v>
      </c>
      <c r="L63" s="1">
        <v>2341.84</v>
      </c>
      <c r="M63" s="1" t="s">
        <v>18</v>
      </c>
    </row>
    <row r="64" spans="1:13" x14ac:dyDescent="0.35">
      <c r="A64" s="1" t="s">
        <v>240</v>
      </c>
      <c r="B64" s="2">
        <v>45601</v>
      </c>
      <c r="C64" s="1" t="s">
        <v>241</v>
      </c>
      <c r="D64" s="1" t="s">
        <v>1492</v>
      </c>
      <c r="E64" s="1" t="s">
        <v>189</v>
      </c>
      <c r="F64" s="1" t="s">
        <v>45</v>
      </c>
      <c r="G64" s="1">
        <v>5</v>
      </c>
      <c r="H64" s="1">
        <v>3405</v>
      </c>
      <c r="I64" s="1">
        <v>17025</v>
      </c>
      <c r="J64" s="1">
        <v>510.75</v>
      </c>
      <c r="K64" s="1">
        <v>0.03</v>
      </c>
      <c r="L64" s="1">
        <v>16514.25</v>
      </c>
      <c r="M64" s="1" t="s">
        <v>18</v>
      </c>
    </row>
    <row r="65" spans="1:13" x14ac:dyDescent="0.35">
      <c r="A65" s="1" t="s">
        <v>242</v>
      </c>
      <c r="B65" s="2">
        <v>45043</v>
      </c>
      <c r="C65" s="1" t="s">
        <v>150</v>
      </c>
      <c r="D65" s="1" t="s">
        <v>1490</v>
      </c>
      <c r="E65" s="1" t="s">
        <v>26</v>
      </c>
      <c r="F65" s="1" t="s">
        <v>17</v>
      </c>
      <c r="G65" s="1">
        <v>10</v>
      </c>
      <c r="H65" s="1">
        <v>2943</v>
      </c>
      <c r="I65" s="1">
        <v>29430</v>
      </c>
      <c r="J65" s="1">
        <v>5297.4</v>
      </c>
      <c r="K65" s="1">
        <v>0.18</v>
      </c>
      <c r="L65" s="1">
        <v>24132.6</v>
      </c>
      <c r="M65" s="1" t="s">
        <v>18</v>
      </c>
    </row>
    <row r="66" spans="1:13" x14ac:dyDescent="0.35">
      <c r="A66" s="1" t="s">
        <v>243</v>
      </c>
      <c r="B66" s="2">
        <v>45329</v>
      </c>
      <c r="C66" s="1" t="s">
        <v>244</v>
      </c>
      <c r="D66" s="1" t="s">
        <v>1490</v>
      </c>
      <c r="E66" s="1" t="s">
        <v>16</v>
      </c>
      <c r="F66" s="1" t="s">
        <v>17</v>
      </c>
      <c r="G66" s="1">
        <v>3</v>
      </c>
      <c r="H66" s="1">
        <v>535</v>
      </c>
      <c r="I66" s="1">
        <v>1605</v>
      </c>
      <c r="J66" s="1">
        <v>112.35000000000001</v>
      </c>
      <c r="K66" s="1">
        <v>7.0000000000000007E-2</v>
      </c>
      <c r="L66" s="1">
        <v>1492.65</v>
      </c>
      <c r="M66" s="1" t="s">
        <v>18</v>
      </c>
    </row>
    <row r="67" spans="1:13" x14ac:dyDescent="0.35">
      <c r="A67" s="1" t="s">
        <v>245</v>
      </c>
      <c r="B67" s="2">
        <v>45280</v>
      </c>
      <c r="C67" s="1" t="s">
        <v>246</v>
      </c>
      <c r="D67" s="1" t="s">
        <v>1492</v>
      </c>
      <c r="E67" s="1" t="s">
        <v>48</v>
      </c>
      <c r="F67" s="1" t="s">
        <v>17</v>
      </c>
      <c r="G67" s="1">
        <v>6</v>
      </c>
      <c r="H67" s="1">
        <v>3285</v>
      </c>
      <c r="I67" s="1">
        <v>19710</v>
      </c>
      <c r="J67" s="1">
        <v>2562.3000000000002</v>
      </c>
      <c r="K67" s="1">
        <v>0.13</v>
      </c>
      <c r="L67" s="1">
        <v>17147.7</v>
      </c>
      <c r="M67" s="1" t="s">
        <v>18</v>
      </c>
    </row>
    <row r="68" spans="1:13" x14ac:dyDescent="0.35">
      <c r="A68" s="1" t="s">
        <v>247</v>
      </c>
      <c r="B68" s="2">
        <v>45033</v>
      </c>
      <c r="C68" s="1" t="s">
        <v>248</v>
      </c>
      <c r="D68" s="1" t="s">
        <v>1492</v>
      </c>
      <c r="E68" s="1" t="s">
        <v>48</v>
      </c>
      <c r="F68" s="1" t="s">
        <v>17</v>
      </c>
      <c r="G68" s="1">
        <v>7</v>
      </c>
      <c r="H68" s="1">
        <v>2794</v>
      </c>
      <c r="I68" s="1">
        <v>19558</v>
      </c>
      <c r="J68" s="1">
        <v>4498.34</v>
      </c>
      <c r="K68" s="1">
        <v>0.23</v>
      </c>
      <c r="L68" s="1">
        <v>15059.66</v>
      </c>
      <c r="M68" s="1" t="s">
        <v>18</v>
      </c>
    </row>
    <row r="69" spans="1:13" x14ac:dyDescent="0.35">
      <c r="A69" s="1" t="s">
        <v>249</v>
      </c>
      <c r="B69" s="2">
        <v>45054</v>
      </c>
      <c r="C69" s="1" t="s">
        <v>146</v>
      </c>
      <c r="D69" s="1" t="s">
        <v>1491</v>
      </c>
      <c r="E69" s="1" t="s">
        <v>48</v>
      </c>
      <c r="F69" s="1" t="s">
        <v>17</v>
      </c>
      <c r="G69" s="1">
        <v>6</v>
      </c>
      <c r="H69" s="1">
        <v>3576</v>
      </c>
      <c r="I69" s="1">
        <v>21456</v>
      </c>
      <c r="J69" s="1">
        <v>643.67999999999995</v>
      </c>
      <c r="K69" s="1">
        <v>0.03</v>
      </c>
      <c r="L69" s="1">
        <v>20812.32</v>
      </c>
      <c r="M69" s="1" t="s">
        <v>18</v>
      </c>
    </row>
    <row r="70" spans="1:13" x14ac:dyDescent="0.35">
      <c r="A70" s="1" t="s">
        <v>250</v>
      </c>
      <c r="B70" s="2">
        <v>45373</v>
      </c>
      <c r="C70" s="1" t="s">
        <v>89</v>
      </c>
      <c r="D70" s="1" t="s">
        <v>1490</v>
      </c>
      <c r="E70" s="1" t="s">
        <v>57</v>
      </c>
      <c r="F70" s="1" t="s">
        <v>45</v>
      </c>
      <c r="G70" s="1">
        <v>9</v>
      </c>
      <c r="H70" s="1">
        <v>4043</v>
      </c>
      <c r="I70" s="1">
        <v>36387</v>
      </c>
      <c r="J70" s="1">
        <v>8732.8799999999992</v>
      </c>
      <c r="K70" s="1">
        <v>0.24</v>
      </c>
      <c r="L70" s="1">
        <v>27654.12</v>
      </c>
      <c r="M70" s="1" t="s">
        <v>18</v>
      </c>
    </row>
    <row r="71" spans="1:13" x14ac:dyDescent="0.35">
      <c r="A71" s="1" t="s">
        <v>251</v>
      </c>
      <c r="B71" s="2">
        <v>45233</v>
      </c>
      <c r="C71" s="1" t="s">
        <v>252</v>
      </c>
      <c r="D71" s="1" t="s">
        <v>1492</v>
      </c>
      <c r="E71" s="1" t="s">
        <v>60</v>
      </c>
      <c r="F71" s="1" t="s">
        <v>45</v>
      </c>
      <c r="G71" s="1">
        <v>7</v>
      </c>
      <c r="H71" s="1">
        <v>2746</v>
      </c>
      <c r="I71" s="1">
        <v>19222</v>
      </c>
      <c r="J71" s="1">
        <v>4997.72</v>
      </c>
      <c r="K71" s="1">
        <v>0.26</v>
      </c>
      <c r="L71" s="1">
        <v>14224.28</v>
      </c>
      <c r="M71" s="1" t="s">
        <v>18</v>
      </c>
    </row>
    <row r="72" spans="1:13" x14ac:dyDescent="0.35">
      <c r="A72" s="1" t="s">
        <v>253</v>
      </c>
      <c r="B72" s="2">
        <v>45352</v>
      </c>
      <c r="C72" s="1" t="s">
        <v>254</v>
      </c>
      <c r="D72" s="1" t="s">
        <v>1490</v>
      </c>
      <c r="E72" s="1" t="s">
        <v>21</v>
      </c>
      <c r="F72" s="1" t="s">
        <v>22</v>
      </c>
      <c r="G72" s="1">
        <v>9</v>
      </c>
      <c r="H72" s="1">
        <v>194</v>
      </c>
      <c r="I72" s="1">
        <v>1746</v>
      </c>
      <c r="J72" s="1">
        <v>436.5</v>
      </c>
      <c r="K72" s="1">
        <v>0.25</v>
      </c>
      <c r="L72" s="1">
        <v>1309.5</v>
      </c>
      <c r="M72" s="1" t="s">
        <v>18</v>
      </c>
    </row>
    <row r="73" spans="1:13" x14ac:dyDescent="0.35">
      <c r="A73" s="1" t="s">
        <v>255</v>
      </c>
      <c r="B73" s="2">
        <v>44961</v>
      </c>
      <c r="C73" s="1" t="s">
        <v>125</v>
      </c>
      <c r="D73" s="1" t="s">
        <v>1492</v>
      </c>
      <c r="E73" s="1" t="s">
        <v>60</v>
      </c>
      <c r="F73" s="1" t="s">
        <v>45</v>
      </c>
      <c r="G73" s="1">
        <v>2</v>
      </c>
      <c r="H73" s="1">
        <v>2796</v>
      </c>
      <c r="I73" s="1">
        <v>5592</v>
      </c>
      <c r="J73" s="1">
        <v>838.8</v>
      </c>
      <c r="K73" s="1">
        <v>0.15</v>
      </c>
      <c r="L73" s="1">
        <v>4753.2</v>
      </c>
      <c r="M73" s="1" t="s">
        <v>18</v>
      </c>
    </row>
    <row r="74" spans="1:13" x14ac:dyDescent="0.35">
      <c r="A74" s="1" t="s">
        <v>256</v>
      </c>
      <c r="B74" s="2">
        <v>45362</v>
      </c>
      <c r="C74" s="1" t="s">
        <v>257</v>
      </c>
      <c r="D74" s="1" t="s">
        <v>1492</v>
      </c>
      <c r="E74" s="1" t="s">
        <v>29</v>
      </c>
      <c r="F74" s="1" t="s">
        <v>22</v>
      </c>
      <c r="G74" s="1">
        <v>7</v>
      </c>
      <c r="H74" s="1">
        <v>2663</v>
      </c>
      <c r="I74" s="1">
        <v>18641</v>
      </c>
      <c r="J74" s="1">
        <v>5405.8899999999994</v>
      </c>
      <c r="K74" s="1">
        <v>0.28999999999999998</v>
      </c>
      <c r="L74" s="1">
        <v>13235.11</v>
      </c>
      <c r="M74" s="1" t="s">
        <v>18</v>
      </c>
    </row>
    <row r="75" spans="1:13" x14ac:dyDescent="0.35">
      <c r="A75" s="1" t="s">
        <v>258</v>
      </c>
      <c r="B75" s="2">
        <v>45520</v>
      </c>
      <c r="C75" s="1" t="s">
        <v>259</v>
      </c>
      <c r="D75" s="1" t="s">
        <v>1491</v>
      </c>
      <c r="E75" s="1" t="s">
        <v>181</v>
      </c>
      <c r="F75" s="1" t="s">
        <v>22</v>
      </c>
      <c r="G75" s="1">
        <v>10</v>
      </c>
      <c r="H75" s="1">
        <v>1198</v>
      </c>
      <c r="I75" s="1">
        <v>11980</v>
      </c>
      <c r="J75" s="1">
        <v>2875.2</v>
      </c>
      <c r="K75" s="1">
        <v>0.24</v>
      </c>
      <c r="L75" s="1">
        <v>9104.7999999999993</v>
      </c>
      <c r="M75" s="1" t="s">
        <v>18</v>
      </c>
    </row>
    <row r="76" spans="1:13" x14ac:dyDescent="0.35">
      <c r="A76" s="1" t="s">
        <v>260</v>
      </c>
      <c r="B76" s="2">
        <v>45598</v>
      </c>
      <c r="C76" s="1" t="s">
        <v>235</v>
      </c>
      <c r="D76" s="1" t="s">
        <v>1491</v>
      </c>
      <c r="E76" s="1" t="s">
        <v>29</v>
      </c>
      <c r="F76" s="1" t="s">
        <v>22</v>
      </c>
      <c r="G76" s="1">
        <v>3</v>
      </c>
      <c r="H76" s="1">
        <v>3319</v>
      </c>
      <c r="I76" s="1">
        <v>9957</v>
      </c>
      <c r="J76" s="1">
        <v>2090.9699999999998</v>
      </c>
      <c r="K76" s="1">
        <v>0.21</v>
      </c>
      <c r="L76" s="1">
        <v>7866.03</v>
      </c>
      <c r="M76" s="1" t="s">
        <v>18</v>
      </c>
    </row>
    <row r="77" spans="1:13" x14ac:dyDescent="0.35">
      <c r="A77" s="1" t="s">
        <v>261</v>
      </c>
      <c r="B77" s="2">
        <v>45211</v>
      </c>
      <c r="C77" s="1" t="s">
        <v>262</v>
      </c>
      <c r="D77" s="1" t="s">
        <v>1490</v>
      </c>
      <c r="E77" s="1" t="s">
        <v>44</v>
      </c>
      <c r="F77" s="1" t="s">
        <v>45</v>
      </c>
      <c r="G77" s="1">
        <v>4</v>
      </c>
      <c r="H77" s="1">
        <v>785</v>
      </c>
      <c r="I77" s="1">
        <v>3140</v>
      </c>
      <c r="J77" s="1">
        <v>942</v>
      </c>
      <c r="K77" s="1">
        <v>0.3</v>
      </c>
      <c r="L77" s="1">
        <v>2198</v>
      </c>
      <c r="M77" s="1" t="s">
        <v>18</v>
      </c>
    </row>
    <row r="78" spans="1:13" x14ac:dyDescent="0.35">
      <c r="A78" s="1" t="s">
        <v>263</v>
      </c>
      <c r="B78" s="2">
        <v>45161</v>
      </c>
      <c r="C78" s="1" t="s">
        <v>107</v>
      </c>
      <c r="D78" s="1" t="s">
        <v>1490</v>
      </c>
      <c r="E78" s="1" t="s">
        <v>21</v>
      </c>
      <c r="F78" s="1" t="s">
        <v>22</v>
      </c>
      <c r="G78" s="1">
        <v>3</v>
      </c>
      <c r="H78" s="1">
        <v>1314</v>
      </c>
      <c r="I78" s="1">
        <v>3942</v>
      </c>
      <c r="J78" s="1">
        <v>512.46</v>
      </c>
      <c r="K78" s="1">
        <v>0.13</v>
      </c>
      <c r="L78" s="1">
        <v>3429.54</v>
      </c>
      <c r="M78" s="1" t="s">
        <v>18</v>
      </c>
    </row>
    <row r="79" spans="1:13" x14ac:dyDescent="0.35">
      <c r="A79" s="1" t="s">
        <v>264</v>
      </c>
      <c r="B79" s="2">
        <v>44965</v>
      </c>
      <c r="C79" s="1" t="s">
        <v>175</v>
      </c>
      <c r="D79" s="1" t="s">
        <v>1491</v>
      </c>
      <c r="E79" s="1" t="s">
        <v>189</v>
      </c>
      <c r="F79" s="1" t="s">
        <v>45</v>
      </c>
      <c r="G79" s="1">
        <v>7</v>
      </c>
      <c r="H79" s="1">
        <v>2039</v>
      </c>
      <c r="I79" s="1">
        <v>14273</v>
      </c>
      <c r="J79" s="1">
        <v>3425.52</v>
      </c>
      <c r="K79" s="1">
        <v>0.24</v>
      </c>
      <c r="L79" s="1">
        <v>10847.48</v>
      </c>
      <c r="M79" s="1" t="s">
        <v>18</v>
      </c>
    </row>
    <row r="80" spans="1:13" x14ac:dyDescent="0.35">
      <c r="A80" s="1" t="s">
        <v>265</v>
      </c>
      <c r="B80" s="2">
        <v>45637</v>
      </c>
      <c r="C80" s="1" t="s">
        <v>266</v>
      </c>
      <c r="D80" s="1" t="s">
        <v>1490</v>
      </c>
      <c r="E80" s="1" t="s">
        <v>16</v>
      </c>
      <c r="F80" s="1" t="s">
        <v>17</v>
      </c>
      <c r="G80" s="1">
        <v>6</v>
      </c>
      <c r="H80" s="1">
        <v>3376</v>
      </c>
      <c r="I80" s="1">
        <v>20256</v>
      </c>
      <c r="J80" s="1">
        <v>810.24</v>
      </c>
      <c r="K80" s="1">
        <v>0.04</v>
      </c>
      <c r="L80" s="1">
        <v>19445.759999999998</v>
      </c>
      <c r="M80" s="1" t="s">
        <v>18</v>
      </c>
    </row>
    <row r="81" spans="1:13" x14ac:dyDescent="0.35">
      <c r="A81" s="1" t="s">
        <v>267</v>
      </c>
      <c r="B81" s="2">
        <v>45426</v>
      </c>
      <c r="C81" s="1" t="s">
        <v>132</v>
      </c>
      <c r="D81" s="1" t="s">
        <v>1490</v>
      </c>
      <c r="E81" s="1" t="s">
        <v>26</v>
      </c>
      <c r="F81" s="1" t="s">
        <v>17</v>
      </c>
      <c r="G81" s="1">
        <v>5</v>
      </c>
      <c r="H81" s="1">
        <v>1675</v>
      </c>
      <c r="I81" s="1">
        <v>8375</v>
      </c>
      <c r="J81" s="1">
        <v>1758.75</v>
      </c>
      <c r="K81" s="1">
        <v>0.21</v>
      </c>
      <c r="L81" s="1">
        <v>6616.25</v>
      </c>
      <c r="M81" s="1" t="s">
        <v>18</v>
      </c>
    </row>
    <row r="82" spans="1:13" x14ac:dyDescent="0.35">
      <c r="A82" s="1" t="s">
        <v>268</v>
      </c>
      <c r="B82" s="2">
        <v>45206</v>
      </c>
      <c r="C82" s="1" t="s">
        <v>262</v>
      </c>
      <c r="D82" s="1" t="s">
        <v>1490</v>
      </c>
      <c r="E82" s="1" t="s">
        <v>32</v>
      </c>
      <c r="F82" s="1" t="s">
        <v>17</v>
      </c>
      <c r="G82" s="1">
        <v>10</v>
      </c>
      <c r="H82" s="1">
        <v>848</v>
      </c>
      <c r="I82" s="1">
        <v>8480</v>
      </c>
      <c r="J82" s="1">
        <v>932.8</v>
      </c>
      <c r="K82" s="1">
        <v>0.11</v>
      </c>
      <c r="L82" s="1">
        <v>7547.2</v>
      </c>
      <c r="M82" s="1" t="s">
        <v>18</v>
      </c>
    </row>
    <row r="83" spans="1:13" x14ac:dyDescent="0.35">
      <c r="A83" s="1" t="s">
        <v>269</v>
      </c>
      <c r="B83" s="2">
        <v>45374</v>
      </c>
      <c r="C83" s="1" t="s">
        <v>248</v>
      </c>
      <c r="D83" s="1" t="s">
        <v>1492</v>
      </c>
      <c r="E83" s="1" t="s">
        <v>16</v>
      </c>
      <c r="F83" s="1" t="s">
        <v>17</v>
      </c>
      <c r="G83" s="1">
        <v>8</v>
      </c>
      <c r="H83" s="1">
        <v>3138</v>
      </c>
      <c r="I83" s="1">
        <v>25104</v>
      </c>
      <c r="J83" s="1">
        <v>5522.88</v>
      </c>
      <c r="K83" s="1">
        <v>0.22</v>
      </c>
      <c r="L83" s="1">
        <v>19581.12</v>
      </c>
      <c r="M83" s="1" t="s">
        <v>18</v>
      </c>
    </row>
    <row r="84" spans="1:13" x14ac:dyDescent="0.35">
      <c r="A84" s="1" t="s">
        <v>270</v>
      </c>
      <c r="B84" s="2">
        <v>44997</v>
      </c>
      <c r="C84" s="1" t="s">
        <v>271</v>
      </c>
      <c r="D84" s="1" t="s">
        <v>1492</v>
      </c>
      <c r="E84" s="1" t="s">
        <v>44</v>
      </c>
      <c r="F84" s="1" t="s">
        <v>45</v>
      </c>
      <c r="G84" s="1">
        <v>7</v>
      </c>
      <c r="H84" s="1">
        <v>1111</v>
      </c>
      <c r="I84" s="1">
        <v>7777</v>
      </c>
      <c r="J84" s="1">
        <v>155.54</v>
      </c>
      <c r="K84" s="1">
        <v>0.02</v>
      </c>
      <c r="L84" s="1">
        <v>7621.46</v>
      </c>
      <c r="M84" s="1" t="s">
        <v>18</v>
      </c>
    </row>
    <row r="85" spans="1:13" x14ac:dyDescent="0.35">
      <c r="A85" s="1" t="s">
        <v>272</v>
      </c>
      <c r="B85" s="2">
        <v>45522</v>
      </c>
      <c r="C85" s="1" t="s">
        <v>273</v>
      </c>
      <c r="D85" s="1" t="s">
        <v>1493</v>
      </c>
      <c r="E85" s="1" t="s">
        <v>21</v>
      </c>
      <c r="F85" s="1" t="s">
        <v>22</v>
      </c>
      <c r="G85" s="1">
        <v>2</v>
      </c>
      <c r="H85" s="1">
        <v>1059</v>
      </c>
      <c r="I85" s="1">
        <v>2118</v>
      </c>
      <c r="J85" s="1">
        <v>465.96</v>
      </c>
      <c r="K85" s="1">
        <v>0.22</v>
      </c>
      <c r="L85" s="1">
        <v>1652.04</v>
      </c>
      <c r="M85" s="1" t="s">
        <v>18</v>
      </c>
    </row>
    <row r="86" spans="1:13" x14ac:dyDescent="0.35">
      <c r="A86" s="1" t="s">
        <v>274</v>
      </c>
      <c r="B86" s="2">
        <v>45251</v>
      </c>
      <c r="C86" s="1" t="s">
        <v>275</v>
      </c>
      <c r="D86" s="1" t="s">
        <v>1492</v>
      </c>
      <c r="E86" s="1" t="s">
        <v>48</v>
      </c>
      <c r="F86" s="1" t="s">
        <v>17</v>
      </c>
      <c r="G86" s="1">
        <v>9</v>
      </c>
      <c r="H86" s="1">
        <v>1864</v>
      </c>
      <c r="I86" s="1">
        <v>16776</v>
      </c>
      <c r="J86" s="1">
        <v>4529.5200000000004</v>
      </c>
      <c r="K86" s="1">
        <v>0.27</v>
      </c>
      <c r="L86" s="1">
        <v>12246.48</v>
      </c>
      <c r="M86" s="1" t="s">
        <v>18</v>
      </c>
    </row>
    <row r="87" spans="1:13" x14ac:dyDescent="0.35">
      <c r="A87" s="1" t="s">
        <v>276</v>
      </c>
      <c r="B87" s="2">
        <v>45101</v>
      </c>
      <c r="C87" s="1" t="s">
        <v>277</v>
      </c>
      <c r="D87" s="1" t="s">
        <v>1490</v>
      </c>
      <c r="E87" s="1" t="s">
        <v>29</v>
      </c>
      <c r="F87" s="1" t="s">
        <v>22</v>
      </c>
      <c r="G87" s="1">
        <v>1</v>
      </c>
      <c r="H87" s="1">
        <v>3277</v>
      </c>
      <c r="I87" s="1">
        <v>3277</v>
      </c>
      <c r="J87" s="1">
        <v>917.56000000000006</v>
      </c>
      <c r="K87" s="1">
        <v>0.28000000000000003</v>
      </c>
      <c r="L87" s="1">
        <v>2359.44</v>
      </c>
      <c r="M87" s="1" t="s">
        <v>18</v>
      </c>
    </row>
    <row r="88" spans="1:13" x14ac:dyDescent="0.35">
      <c r="A88" s="1" t="s">
        <v>278</v>
      </c>
      <c r="B88" s="2">
        <v>45525</v>
      </c>
      <c r="C88" s="1" t="s">
        <v>279</v>
      </c>
      <c r="D88" s="1" t="s">
        <v>1493</v>
      </c>
      <c r="E88" s="1" t="s">
        <v>16</v>
      </c>
      <c r="F88" s="1" t="s">
        <v>17</v>
      </c>
      <c r="G88" s="1">
        <v>8</v>
      </c>
      <c r="H88" s="1">
        <v>3003</v>
      </c>
      <c r="I88" s="1">
        <v>24024</v>
      </c>
      <c r="J88" s="1">
        <v>6966.9599999999991</v>
      </c>
      <c r="K88" s="1">
        <v>0.28999999999999998</v>
      </c>
      <c r="L88" s="1">
        <v>17057.04</v>
      </c>
      <c r="M88" s="1" t="s">
        <v>18</v>
      </c>
    </row>
    <row r="89" spans="1:13" x14ac:dyDescent="0.35">
      <c r="A89" s="1" t="s">
        <v>280</v>
      </c>
      <c r="B89" s="2">
        <v>45226</v>
      </c>
      <c r="C89" s="1" t="s">
        <v>201</v>
      </c>
      <c r="D89" s="1" t="s">
        <v>1490</v>
      </c>
      <c r="E89" s="1" t="s">
        <v>181</v>
      </c>
      <c r="F89" s="1" t="s">
        <v>22</v>
      </c>
      <c r="G89" s="1">
        <v>6</v>
      </c>
      <c r="H89" s="1">
        <v>4311</v>
      </c>
      <c r="I89" s="1">
        <v>25866</v>
      </c>
      <c r="J89" s="1">
        <v>2327.94</v>
      </c>
      <c r="K89" s="1">
        <v>0.09</v>
      </c>
      <c r="L89" s="1">
        <v>23538.06</v>
      </c>
      <c r="M89" s="1" t="s">
        <v>18</v>
      </c>
    </row>
    <row r="90" spans="1:13" x14ac:dyDescent="0.35">
      <c r="A90" s="1" t="s">
        <v>281</v>
      </c>
      <c r="B90" s="2">
        <v>45613</v>
      </c>
      <c r="C90" s="1" t="s">
        <v>282</v>
      </c>
      <c r="D90" s="1" t="s">
        <v>1492</v>
      </c>
      <c r="E90" s="1" t="s">
        <v>44</v>
      </c>
      <c r="F90" s="1" t="s">
        <v>45</v>
      </c>
      <c r="G90" s="1">
        <v>5</v>
      </c>
      <c r="H90" s="1">
        <v>1556</v>
      </c>
      <c r="I90" s="1">
        <v>7780</v>
      </c>
      <c r="J90" s="1">
        <v>2100.6000000000004</v>
      </c>
      <c r="K90" s="1">
        <v>0.27</v>
      </c>
      <c r="L90" s="1">
        <v>5679.4</v>
      </c>
      <c r="M90" s="1" t="s">
        <v>18</v>
      </c>
    </row>
    <row r="91" spans="1:13" x14ac:dyDescent="0.35">
      <c r="A91" s="1" t="s">
        <v>283</v>
      </c>
      <c r="B91" s="2">
        <v>45648</v>
      </c>
      <c r="C91" s="1" t="s">
        <v>284</v>
      </c>
      <c r="D91" s="1" t="s">
        <v>1493</v>
      </c>
      <c r="E91" s="1" t="s">
        <v>16</v>
      </c>
      <c r="F91" s="1" t="s">
        <v>17</v>
      </c>
      <c r="G91" s="1">
        <v>7</v>
      </c>
      <c r="H91" s="1">
        <v>1805</v>
      </c>
      <c r="I91" s="1">
        <v>12635</v>
      </c>
      <c r="J91" s="1">
        <v>126.35000000000001</v>
      </c>
      <c r="K91" s="1">
        <v>0.01</v>
      </c>
      <c r="L91" s="1">
        <v>12508.65</v>
      </c>
      <c r="M91" s="1" t="s">
        <v>18</v>
      </c>
    </row>
    <row r="92" spans="1:13" x14ac:dyDescent="0.35">
      <c r="A92" s="1" t="s">
        <v>285</v>
      </c>
      <c r="B92" s="2">
        <v>45624</v>
      </c>
      <c r="C92" s="1" t="s">
        <v>14</v>
      </c>
      <c r="D92" s="1" t="s">
        <v>1490</v>
      </c>
      <c r="E92" s="1" t="s">
        <v>57</v>
      </c>
      <c r="F92" s="1" t="s">
        <v>45</v>
      </c>
      <c r="G92" s="1">
        <v>9</v>
      </c>
      <c r="H92" s="1">
        <v>3542</v>
      </c>
      <c r="I92" s="1">
        <v>31878</v>
      </c>
      <c r="J92" s="1">
        <v>5738.04</v>
      </c>
      <c r="K92" s="1">
        <v>0.18</v>
      </c>
      <c r="L92" s="1">
        <v>26139.96</v>
      </c>
      <c r="M92" s="1" t="s">
        <v>18</v>
      </c>
    </row>
    <row r="93" spans="1:13" x14ac:dyDescent="0.35">
      <c r="A93" s="1" t="s">
        <v>286</v>
      </c>
      <c r="B93" s="2">
        <v>45336</v>
      </c>
      <c r="C93" s="1" t="s">
        <v>165</v>
      </c>
      <c r="D93" s="1" t="s">
        <v>1490</v>
      </c>
      <c r="E93" s="1" t="s">
        <v>48</v>
      </c>
      <c r="F93" s="1" t="s">
        <v>17</v>
      </c>
      <c r="G93" s="1">
        <v>9</v>
      </c>
      <c r="H93" s="1">
        <v>420</v>
      </c>
      <c r="I93" s="1">
        <v>3780</v>
      </c>
      <c r="J93" s="1">
        <v>75.600000000000009</v>
      </c>
      <c r="K93" s="1">
        <v>0.02</v>
      </c>
      <c r="L93" s="1">
        <v>3704.4</v>
      </c>
      <c r="M93" s="1" t="s">
        <v>18</v>
      </c>
    </row>
    <row r="94" spans="1:13" x14ac:dyDescent="0.35">
      <c r="A94" s="1" t="s">
        <v>287</v>
      </c>
      <c r="B94" s="2">
        <v>45372</v>
      </c>
      <c r="C94" s="1" t="s">
        <v>161</v>
      </c>
      <c r="D94" s="1" t="s">
        <v>1490</v>
      </c>
      <c r="E94" s="1" t="s">
        <v>57</v>
      </c>
      <c r="F94" s="1" t="s">
        <v>45</v>
      </c>
      <c r="G94" s="1">
        <v>5</v>
      </c>
      <c r="H94" s="1">
        <v>3458</v>
      </c>
      <c r="I94" s="1">
        <v>17290</v>
      </c>
      <c r="J94" s="1">
        <v>518.69999999999993</v>
      </c>
      <c r="K94" s="1">
        <v>0.03</v>
      </c>
      <c r="L94" s="1">
        <v>16771.3</v>
      </c>
      <c r="M94" s="1" t="s">
        <v>18</v>
      </c>
    </row>
    <row r="95" spans="1:13" x14ac:dyDescent="0.35">
      <c r="A95" s="1" t="s">
        <v>288</v>
      </c>
      <c r="B95" s="2">
        <v>45316</v>
      </c>
      <c r="C95" s="1" t="s">
        <v>277</v>
      </c>
      <c r="D95" s="1" t="s">
        <v>1490</v>
      </c>
      <c r="E95" s="1" t="s">
        <v>32</v>
      </c>
      <c r="F95" s="1" t="s">
        <v>17</v>
      </c>
      <c r="G95" s="1">
        <v>5</v>
      </c>
      <c r="H95" s="1">
        <v>3302</v>
      </c>
      <c r="I95" s="1">
        <v>16510</v>
      </c>
      <c r="J95" s="1">
        <v>3962.3999999999996</v>
      </c>
      <c r="K95" s="1">
        <v>0.24</v>
      </c>
      <c r="L95" s="1">
        <v>12547.6</v>
      </c>
      <c r="M95" s="1" t="s">
        <v>18</v>
      </c>
    </row>
    <row r="96" spans="1:13" x14ac:dyDescent="0.35">
      <c r="A96" s="1" t="s">
        <v>289</v>
      </c>
      <c r="B96" s="2">
        <v>45001</v>
      </c>
      <c r="C96" s="1" t="s">
        <v>85</v>
      </c>
      <c r="D96" s="1" t="s">
        <v>1492</v>
      </c>
      <c r="E96" s="1" t="s">
        <v>26</v>
      </c>
      <c r="F96" s="1" t="s">
        <v>17</v>
      </c>
      <c r="G96" s="1">
        <v>8</v>
      </c>
      <c r="H96" s="1">
        <v>4836</v>
      </c>
      <c r="I96" s="1">
        <v>38688</v>
      </c>
      <c r="J96" s="1">
        <v>773.76</v>
      </c>
      <c r="K96" s="1">
        <v>0.02</v>
      </c>
      <c r="L96" s="1">
        <v>37914.239999999998</v>
      </c>
      <c r="M96" s="1" t="s">
        <v>18</v>
      </c>
    </row>
    <row r="97" spans="1:13" x14ac:dyDescent="0.35">
      <c r="A97" s="1" t="s">
        <v>290</v>
      </c>
      <c r="B97" s="2">
        <v>45514</v>
      </c>
      <c r="C97" s="1" t="s">
        <v>161</v>
      </c>
      <c r="D97" s="1" t="s">
        <v>1490</v>
      </c>
      <c r="E97" s="1" t="s">
        <v>32</v>
      </c>
      <c r="F97" s="1" t="s">
        <v>17</v>
      </c>
      <c r="G97" s="1">
        <v>8</v>
      </c>
      <c r="H97" s="1">
        <v>886</v>
      </c>
      <c r="I97" s="1">
        <v>7088</v>
      </c>
      <c r="J97" s="1">
        <v>1984.64</v>
      </c>
      <c r="K97" s="1">
        <v>0.28000000000000003</v>
      </c>
      <c r="L97" s="1">
        <v>5103.3599999999997</v>
      </c>
      <c r="M97" s="1" t="s">
        <v>18</v>
      </c>
    </row>
    <row r="98" spans="1:13" x14ac:dyDescent="0.35">
      <c r="A98" s="1" t="s">
        <v>291</v>
      </c>
      <c r="B98" s="2">
        <v>45025</v>
      </c>
      <c r="C98" s="1" t="s">
        <v>292</v>
      </c>
      <c r="D98" s="1" t="s">
        <v>1490</v>
      </c>
      <c r="E98" s="1" t="s">
        <v>32</v>
      </c>
      <c r="F98" s="1" t="s">
        <v>17</v>
      </c>
      <c r="G98" s="1">
        <v>8</v>
      </c>
      <c r="H98" s="1">
        <v>3797</v>
      </c>
      <c r="I98" s="1">
        <v>30376</v>
      </c>
      <c r="J98" s="1">
        <v>6378.96</v>
      </c>
      <c r="K98" s="1">
        <v>0.21</v>
      </c>
      <c r="L98" s="1">
        <v>23997.040000000001</v>
      </c>
      <c r="M98" s="1" t="s">
        <v>18</v>
      </c>
    </row>
    <row r="99" spans="1:13" x14ac:dyDescent="0.35">
      <c r="A99" s="1" t="s">
        <v>293</v>
      </c>
      <c r="B99" s="2">
        <v>45638</v>
      </c>
      <c r="C99" s="1" t="s">
        <v>294</v>
      </c>
      <c r="D99" s="1" t="s">
        <v>1490</v>
      </c>
      <c r="E99" s="1" t="s">
        <v>57</v>
      </c>
      <c r="F99" s="1" t="s">
        <v>45</v>
      </c>
      <c r="G99" s="1">
        <v>6</v>
      </c>
      <c r="H99" s="1">
        <v>1270</v>
      </c>
      <c r="I99" s="1">
        <v>7620</v>
      </c>
      <c r="J99" s="1">
        <v>838.2</v>
      </c>
      <c r="K99" s="1">
        <v>0.11</v>
      </c>
      <c r="L99" s="1">
        <v>6781.8</v>
      </c>
      <c r="M99" s="1" t="s">
        <v>18</v>
      </c>
    </row>
    <row r="100" spans="1:13" x14ac:dyDescent="0.35">
      <c r="A100" s="1" t="s">
        <v>295</v>
      </c>
      <c r="B100" s="2">
        <v>44982</v>
      </c>
      <c r="C100" s="1" t="s">
        <v>296</v>
      </c>
      <c r="D100" s="1" t="s">
        <v>1491</v>
      </c>
      <c r="E100" s="1" t="s">
        <v>189</v>
      </c>
      <c r="F100" s="1" t="s">
        <v>45</v>
      </c>
      <c r="G100" s="1">
        <v>10</v>
      </c>
      <c r="H100" s="1">
        <v>3274</v>
      </c>
      <c r="I100" s="1">
        <v>32740</v>
      </c>
      <c r="J100" s="1">
        <v>5565.8</v>
      </c>
      <c r="K100" s="1">
        <v>0.17</v>
      </c>
      <c r="L100" s="1">
        <v>27174.2</v>
      </c>
      <c r="M100" s="1" t="s">
        <v>18</v>
      </c>
    </row>
    <row r="101" spans="1:13" x14ac:dyDescent="0.35">
      <c r="A101" s="1" t="s">
        <v>297</v>
      </c>
      <c r="B101" s="2">
        <v>45154</v>
      </c>
      <c r="C101" s="1" t="s">
        <v>175</v>
      </c>
      <c r="D101" s="1" t="s">
        <v>1491</v>
      </c>
      <c r="E101" s="1" t="s">
        <v>60</v>
      </c>
      <c r="F101" s="1" t="s">
        <v>45</v>
      </c>
      <c r="G101" s="1">
        <v>1</v>
      </c>
      <c r="H101" s="1">
        <v>3662</v>
      </c>
      <c r="I101" s="1">
        <v>3662</v>
      </c>
      <c r="J101" s="1">
        <v>402.82</v>
      </c>
      <c r="K101" s="1">
        <v>0.11</v>
      </c>
      <c r="L101" s="1">
        <v>3259.18</v>
      </c>
      <c r="M101" s="1" t="s">
        <v>18</v>
      </c>
    </row>
    <row r="102" spans="1:13" x14ac:dyDescent="0.35">
      <c r="A102" s="1" t="s">
        <v>298</v>
      </c>
      <c r="B102" s="2">
        <v>45148</v>
      </c>
      <c r="C102" s="1" t="s">
        <v>157</v>
      </c>
      <c r="D102" s="1" t="s">
        <v>1490</v>
      </c>
      <c r="E102" s="1" t="s">
        <v>57</v>
      </c>
      <c r="F102" s="1" t="s">
        <v>45</v>
      </c>
      <c r="G102" s="1">
        <v>7</v>
      </c>
      <c r="H102" s="1">
        <v>4915</v>
      </c>
      <c r="I102" s="1">
        <v>34405</v>
      </c>
      <c r="J102" s="1">
        <v>5160.75</v>
      </c>
      <c r="K102" s="1">
        <v>0.15</v>
      </c>
      <c r="L102" s="1">
        <v>29244.25</v>
      </c>
      <c r="M102" s="1" t="s">
        <v>18</v>
      </c>
    </row>
    <row r="103" spans="1:13" x14ac:dyDescent="0.35">
      <c r="A103" s="1" t="s">
        <v>299</v>
      </c>
      <c r="B103" s="2">
        <v>45282</v>
      </c>
      <c r="C103" s="1" t="s">
        <v>41</v>
      </c>
      <c r="D103" s="1" t="s">
        <v>1490</v>
      </c>
      <c r="E103" s="1" t="s">
        <v>21</v>
      </c>
      <c r="F103" s="1" t="s">
        <v>22</v>
      </c>
      <c r="G103" s="1">
        <v>4</v>
      </c>
      <c r="H103" s="1">
        <v>809</v>
      </c>
      <c r="I103" s="1">
        <v>3236</v>
      </c>
      <c r="J103" s="1">
        <v>161.80000000000001</v>
      </c>
      <c r="K103" s="1">
        <v>0.05</v>
      </c>
      <c r="L103" s="1">
        <v>3074.2</v>
      </c>
      <c r="M103" s="1" t="s">
        <v>18</v>
      </c>
    </row>
    <row r="104" spans="1:13" x14ac:dyDescent="0.35">
      <c r="A104" s="1" t="s">
        <v>300</v>
      </c>
      <c r="B104" s="2">
        <v>44977</v>
      </c>
      <c r="C104" s="1" t="s">
        <v>20</v>
      </c>
      <c r="D104" s="1" t="s">
        <v>1490</v>
      </c>
      <c r="E104" s="1" t="s">
        <v>57</v>
      </c>
      <c r="F104" s="1" t="s">
        <v>45</v>
      </c>
      <c r="G104" s="1">
        <v>2</v>
      </c>
      <c r="H104" s="1">
        <v>2362</v>
      </c>
      <c r="I104" s="1">
        <v>4724</v>
      </c>
      <c r="J104" s="1">
        <v>472.40000000000003</v>
      </c>
      <c r="K104" s="1">
        <v>0.1</v>
      </c>
      <c r="L104" s="1">
        <v>4251.6000000000004</v>
      </c>
      <c r="M104" s="1" t="s">
        <v>18</v>
      </c>
    </row>
    <row r="105" spans="1:13" x14ac:dyDescent="0.35">
      <c r="A105" s="1" t="s">
        <v>301</v>
      </c>
      <c r="B105" s="2">
        <v>45530</v>
      </c>
      <c r="C105" s="1" t="s">
        <v>302</v>
      </c>
      <c r="D105" s="1" t="s">
        <v>1491</v>
      </c>
      <c r="E105" s="1" t="s">
        <v>60</v>
      </c>
      <c r="F105" s="1" t="s">
        <v>45</v>
      </c>
      <c r="G105" s="1">
        <v>4</v>
      </c>
      <c r="H105" s="1">
        <v>618</v>
      </c>
      <c r="I105" s="1">
        <v>2472</v>
      </c>
      <c r="J105" s="1">
        <v>98.88</v>
      </c>
      <c r="K105" s="1">
        <v>0.04</v>
      </c>
      <c r="L105" s="1">
        <v>2373.12</v>
      </c>
      <c r="M105" s="1" t="s">
        <v>18</v>
      </c>
    </row>
    <row r="106" spans="1:13" x14ac:dyDescent="0.35">
      <c r="A106" s="1" t="s">
        <v>303</v>
      </c>
      <c r="B106" s="2">
        <v>45080</v>
      </c>
      <c r="C106" s="1" t="s">
        <v>216</v>
      </c>
      <c r="D106" s="1" t="s">
        <v>1493</v>
      </c>
      <c r="E106" s="1" t="s">
        <v>44</v>
      </c>
      <c r="F106" s="1" t="s">
        <v>45</v>
      </c>
      <c r="G106" s="1">
        <v>5</v>
      </c>
      <c r="H106" s="1">
        <v>1179</v>
      </c>
      <c r="I106" s="1">
        <v>5895</v>
      </c>
      <c r="J106" s="1">
        <v>235.8</v>
      </c>
      <c r="K106" s="1">
        <v>0.04</v>
      </c>
      <c r="L106" s="1">
        <v>5659.2</v>
      </c>
      <c r="M106" s="1" t="s">
        <v>18</v>
      </c>
    </row>
    <row r="107" spans="1:13" x14ac:dyDescent="0.35">
      <c r="A107" s="1" t="s">
        <v>304</v>
      </c>
      <c r="B107" s="2">
        <v>45582</v>
      </c>
      <c r="C107" s="1" t="s">
        <v>136</v>
      </c>
      <c r="D107" s="1" t="s">
        <v>1490</v>
      </c>
      <c r="E107" s="1" t="s">
        <v>57</v>
      </c>
      <c r="F107" s="1" t="s">
        <v>45</v>
      </c>
      <c r="G107" s="1">
        <v>2</v>
      </c>
      <c r="H107" s="1">
        <v>2595</v>
      </c>
      <c r="I107" s="1">
        <v>5190</v>
      </c>
      <c r="J107" s="1">
        <v>1453.2</v>
      </c>
      <c r="K107" s="1">
        <v>0.28000000000000003</v>
      </c>
      <c r="L107" s="1">
        <v>3736.8</v>
      </c>
      <c r="M107" s="1" t="s">
        <v>18</v>
      </c>
    </row>
    <row r="108" spans="1:13" x14ac:dyDescent="0.35">
      <c r="A108" s="1" t="s">
        <v>305</v>
      </c>
      <c r="B108" s="2">
        <v>45077</v>
      </c>
      <c r="C108" s="1" t="s">
        <v>306</v>
      </c>
      <c r="D108" s="1" t="s">
        <v>1493</v>
      </c>
      <c r="E108" s="1" t="s">
        <v>189</v>
      </c>
      <c r="F108" s="1" t="s">
        <v>45</v>
      </c>
      <c r="G108" s="1">
        <v>1</v>
      </c>
      <c r="H108" s="1">
        <v>1189</v>
      </c>
      <c r="I108" s="1">
        <v>1189</v>
      </c>
      <c r="J108" s="1">
        <v>11.89</v>
      </c>
      <c r="K108" s="1">
        <v>0.01</v>
      </c>
      <c r="L108" s="1">
        <v>1177.1099999999999</v>
      </c>
      <c r="M108" s="1" t="s">
        <v>18</v>
      </c>
    </row>
    <row r="109" spans="1:13" x14ac:dyDescent="0.35">
      <c r="A109" s="1" t="s">
        <v>307</v>
      </c>
      <c r="B109" s="2">
        <v>45236</v>
      </c>
      <c r="C109" s="1" t="s">
        <v>308</v>
      </c>
      <c r="D109" s="1" t="s">
        <v>1490</v>
      </c>
      <c r="E109" s="1" t="s">
        <v>32</v>
      </c>
      <c r="F109" s="1" t="s">
        <v>17</v>
      </c>
      <c r="G109" s="1">
        <v>7</v>
      </c>
      <c r="H109" s="1">
        <v>3124</v>
      </c>
      <c r="I109" s="1">
        <v>21868</v>
      </c>
      <c r="J109" s="1">
        <v>0</v>
      </c>
      <c r="K109" s="1">
        <v>0</v>
      </c>
      <c r="L109" s="1">
        <v>21868</v>
      </c>
      <c r="M109" s="1" t="s">
        <v>18</v>
      </c>
    </row>
    <row r="110" spans="1:13" x14ac:dyDescent="0.35">
      <c r="A110" s="1" t="s">
        <v>309</v>
      </c>
      <c r="B110" s="2">
        <v>45652</v>
      </c>
      <c r="C110" s="1" t="s">
        <v>231</v>
      </c>
      <c r="D110" s="1" t="s">
        <v>1491</v>
      </c>
      <c r="E110" s="1" t="s">
        <v>16</v>
      </c>
      <c r="F110" s="1" t="s">
        <v>17</v>
      </c>
      <c r="G110" s="1">
        <v>9</v>
      </c>
      <c r="H110" s="1">
        <v>4068</v>
      </c>
      <c r="I110" s="1">
        <v>36612</v>
      </c>
      <c r="J110" s="1">
        <v>7688.5199999999995</v>
      </c>
      <c r="K110" s="1">
        <v>0.21</v>
      </c>
      <c r="L110" s="1">
        <v>28923.48</v>
      </c>
      <c r="M110" s="1" t="s">
        <v>18</v>
      </c>
    </row>
    <row r="111" spans="1:13" x14ac:dyDescent="0.35">
      <c r="A111" s="1" t="s">
        <v>310</v>
      </c>
      <c r="B111" s="2">
        <v>45410</v>
      </c>
      <c r="C111" s="1" t="s">
        <v>311</v>
      </c>
      <c r="D111" s="1" t="s">
        <v>1490</v>
      </c>
      <c r="E111" s="1" t="s">
        <v>48</v>
      </c>
      <c r="F111" s="1" t="s">
        <v>17</v>
      </c>
      <c r="G111" s="1">
        <v>4</v>
      </c>
      <c r="H111" s="1">
        <v>2719</v>
      </c>
      <c r="I111" s="1">
        <v>10876</v>
      </c>
      <c r="J111" s="1">
        <v>870.08</v>
      </c>
      <c r="K111" s="1">
        <v>0.08</v>
      </c>
      <c r="L111" s="1">
        <v>10005.92</v>
      </c>
      <c r="M111" s="1" t="s">
        <v>18</v>
      </c>
    </row>
    <row r="112" spans="1:13" x14ac:dyDescent="0.35">
      <c r="A112" s="1" t="s">
        <v>312</v>
      </c>
      <c r="B112" s="2">
        <v>45108</v>
      </c>
      <c r="C112" s="1" t="s">
        <v>112</v>
      </c>
      <c r="D112" s="1" t="s">
        <v>1493</v>
      </c>
      <c r="E112" s="1" t="s">
        <v>48</v>
      </c>
      <c r="F112" s="1" t="s">
        <v>17</v>
      </c>
      <c r="G112" s="1">
        <v>9</v>
      </c>
      <c r="H112" s="1">
        <v>1800</v>
      </c>
      <c r="I112" s="1">
        <v>16200</v>
      </c>
      <c r="J112" s="1">
        <v>2754</v>
      </c>
      <c r="K112" s="1">
        <v>0.17</v>
      </c>
      <c r="L112" s="1">
        <v>13446</v>
      </c>
      <c r="M112" s="1" t="s">
        <v>18</v>
      </c>
    </row>
    <row r="113" spans="1:13" x14ac:dyDescent="0.35">
      <c r="A113" s="1" t="s">
        <v>313</v>
      </c>
      <c r="B113" s="2">
        <v>45144</v>
      </c>
      <c r="C113" s="1" t="s">
        <v>314</v>
      </c>
      <c r="D113" s="1" t="s">
        <v>1492</v>
      </c>
      <c r="E113" s="1" t="s">
        <v>57</v>
      </c>
      <c r="F113" s="1" t="s">
        <v>45</v>
      </c>
      <c r="G113" s="1">
        <v>5</v>
      </c>
      <c r="H113" s="1">
        <v>1812</v>
      </c>
      <c r="I113" s="1">
        <v>9060</v>
      </c>
      <c r="J113" s="1">
        <v>2265</v>
      </c>
      <c r="K113" s="1">
        <v>0.25</v>
      </c>
      <c r="L113" s="1">
        <v>6795</v>
      </c>
      <c r="M113" s="1" t="s">
        <v>18</v>
      </c>
    </row>
    <row r="114" spans="1:13" x14ac:dyDescent="0.35">
      <c r="A114" s="1" t="s">
        <v>315</v>
      </c>
      <c r="B114" s="2">
        <v>45609</v>
      </c>
      <c r="C114" s="1" t="s">
        <v>208</v>
      </c>
      <c r="D114" s="1" t="s">
        <v>1490</v>
      </c>
      <c r="E114" s="1" t="s">
        <v>26</v>
      </c>
      <c r="F114" s="1" t="s">
        <v>17</v>
      </c>
      <c r="G114" s="1">
        <v>5</v>
      </c>
      <c r="H114" s="1">
        <v>748</v>
      </c>
      <c r="I114" s="1">
        <v>3740</v>
      </c>
      <c r="J114" s="1">
        <v>523.6</v>
      </c>
      <c r="K114" s="1">
        <v>0.14000000000000001</v>
      </c>
      <c r="L114" s="1">
        <v>3216.4</v>
      </c>
      <c r="M114" s="1" t="s">
        <v>18</v>
      </c>
    </row>
    <row r="115" spans="1:13" x14ac:dyDescent="0.35">
      <c r="A115" s="1" t="s">
        <v>316</v>
      </c>
      <c r="B115" s="2">
        <v>45629</v>
      </c>
      <c r="C115" s="1" t="s">
        <v>317</v>
      </c>
      <c r="D115" s="1" t="s">
        <v>1490</v>
      </c>
      <c r="E115" s="1" t="s">
        <v>16</v>
      </c>
      <c r="F115" s="1" t="s">
        <v>17</v>
      </c>
      <c r="G115" s="1">
        <v>2</v>
      </c>
      <c r="H115" s="1">
        <v>3201</v>
      </c>
      <c r="I115" s="1">
        <v>6402</v>
      </c>
      <c r="J115" s="1">
        <v>384.12</v>
      </c>
      <c r="K115" s="1">
        <v>0.06</v>
      </c>
      <c r="L115" s="1">
        <v>6017.88</v>
      </c>
      <c r="M115" s="1" t="s">
        <v>18</v>
      </c>
    </row>
    <row r="116" spans="1:13" x14ac:dyDescent="0.35">
      <c r="A116" s="1" t="s">
        <v>318</v>
      </c>
      <c r="B116" s="2">
        <v>45575</v>
      </c>
      <c r="C116" s="1" t="s">
        <v>24</v>
      </c>
      <c r="D116" s="1" t="s">
        <v>1491</v>
      </c>
      <c r="E116" s="1" t="s">
        <v>39</v>
      </c>
      <c r="F116" s="1" t="s">
        <v>22</v>
      </c>
      <c r="G116" s="1">
        <v>4</v>
      </c>
      <c r="H116" s="1">
        <v>1373</v>
      </c>
      <c r="I116" s="1">
        <v>5492</v>
      </c>
      <c r="J116" s="1">
        <v>109.84</v>
      </c>
      <c r="K116" s="1">
        <v>0.02</v>
      </c>
      <c r="L116" s="1">
        <v>5382.16</v>
      </c>
      <c r="M116" s="1" t="s">
        <v>18</v>
      </c>
    </row>
    <row r="117" spans="1:13" x14ac:dyDescent="0.35">
      <c r="A117" s="1" t="s">
        <v>319</v>
      </c>
      <c r="B117" s="2">
        <v>45151</v>
      </c>
      <c r="C117" s="1" t="s">
        <v>97</v>
      </c>
      <c r="D117" s="1" t="s">
        <v>1491</v>
      </c>
      <c r="E117" s="1" t="s">
        <v>29</v>
      </c>
      <c r="F117" s="1" t="s">
        <v>22</v>
      </c>
      <c r="G117" s="1">
        <v>3</v>
      </c>
      <c r="H117" s="1">
        <v>4568</v>
      </c>
      <c r="I117" s="1">
        <v>13704</v>
      </c>
      <c r="J117" s="1">
        <v>137.04</v>
      </c>
      <c r="K117" s="1">
        <v>0.01</v>
      </c>
      <c r="L117" s="1">
        <v>13566.96</v>
      </c>
      <c r="M117" s="1" t="s">
        <v>18</v>
      </c>
    </row>
    <row r="118" spans="1:13" x14ac:dyDescent="0.35">
      <c r="A118" s="1" t="s">
        <v>320</v>
      </c>
      <c r="B118" s="2">
        <v>45610</v>
      </c>
      <c r="C118" s="1" t="s">
        <v>277</v>
      </c>
      <c r="D118" s="1" t="s">
        <v>1490</v>
      </c>
      <c r="E118" s="1" t="s">
        <v>32</v>
      </c>
      <c r="F118" s="1" t="s">
        <v>17</v>
      </c>
      <c r="G118" s="1">
        <v>10</v>
      </c>
      <c r="H118" s="1">
        <v>764</v>
      </c>
      <c r="I118" s="1">
        <v>7640</v>
      </c>
      <c r="J118" s="1">
        <v>76.400000000000006</v>
      </c>
      <c r="K118" s="1">
        <v>0.01</v>
      </c>
      <c r="L118" s="1">
        <v>7563.6</v>
      </c>
      <c r="M118" s="1" t="s">
        <v>18</v>
      </c>
    </row>
    <row r="119" spans="1:13" x14ac:dyDescent="0.35">
      <c r="A119" s="1" t="s">
        <v>321</v>
      </c>
      <c r="B119" s="2">
        <v>45615</v>
      </c>
      <c r="C119" s="1" t="s">
        <v>275</v>
      </c>
      <c r="D119" s="1" t="s">
        <v>1492</v>
      </c>
      <c r="E119" s="1" t="s">
        <v>57</v>
      </c>
      <c r="F119" s="1" t="s">
        <v>45</v>
      </c>
      <c r="G119" s="1">
        <v>9</v>
      </c>
      <c r="H119" s="1">
        <v>1079</v>
      </c>
      <c r="I119" s="1">
        <v>9711</v>
      </c>
      <c r="J119" s="1">
        <v>2719.0800000000004</v>
      </c>
      <c r="K119" s="1">
        <v>0.28000000000000003</v>
      </c>
      <c r="L119" s="1">
        <v>6991.92</v>
      </c>
      <c r="M119" s="1" t="s">
        <v>18</v>
      </c>
    </row>
    <row r="120" spans="1:13" x14ac:dyDescent="0.35">
      <c r="A120" s="1" t="s">
        <v>322</v>
      </c>
      <c r="B120" s="2">
        <v>45278</v>
      </c>
      <c r="C120" s="1" t="s">
        <v>323</v>
      </c>
      <c r="D120" s="1" t="s">
        <v>1493</v>
      </c>
      <c r="E120" s="1" t="s">
        <v>48</v>
      </c>
      <c r="F120" s="1" t="s">
        <v>17</v>
      </c>
      <c r="G120" s="1">
        <v>2</v>
      </c>
      <c r="H120" s="1">
        <v>4939</v>
      </c>
      <c r="I120" s="1">
        <v>9878</v>
      </c>
      <c r="J120" s="1">
        <v>1580.48</v>
      </c>
      <c r="K120" s="1">
        <v>0.16</v>
      </c>
      <c r="L120" s="1">
        <v>8297.52</v>
      </c>
      <c r="M120" s="1" t="s">
        <v>18</v>
      </c>
    </row>
    <row r="121" spans="1:13" x14ac:dyDescent="0.35">
      <c r="A121" s="1" t="s">
        <v>324</v>
      </c>
      <c r="B121" s="2">
        <v>45099</v>
      </c>
      <c r="C121" s="1" t="s">
        <v>235</v>
      </c>
      <c r="D121" s="1" t="s">
        <v>1491</v>
      </c>
      <c r="E121" s="1" t="s">
        <v>29</v>
      </c>
      <c r="F121" s="1" t="s">
        <v>22</v>
      </c>
      <c r="G121" s="1">
        <v>6</v>
      </c>
      <c r="H121" s="1">
        <v>4136</v>
      </c>
      <c r="I121" s="1">
        <v>24816</v>
      </c>
      <c r="J121" s="1">
        <v>4466.88</v>
      </c>
      <c r="K121" s="1">
        <v>0.18</v>
      </c>
      <c r="L121" s="1">
        <v>20349.12</v>
      </c>
      <c r="M121" s="1" t="s">
        <v>18</v>
      </c>
    </row>
    <row r="122" spans="1:13" x14ac:dyDescent="0.35">
      <c r="A122" s="1" t="s">
        <v>325</v>
      </c>
      <c r="B122" s="2">
        <v>45015</v>
      </c>
      <c r="C122" s="1" t="s">
        <v>326</v>
      </c>
      <c r="D122" s="1" t="s">
        <v>1492</v>
      </c>
      <c r="E122" s="1" t="s">
        <v>44</v>
      </c>
      <c r="F122" s="1" t="s">
        <v>45</v>
      </c>
      <c r="G122" s="1">
        <v>8</v>
      </c>
      <c r="H122" s="1">
        <v>4065</v>
      </c>
      <c r="I122" s="1">
        <v>32520</v>
      </c>
      <c r="J122" s="1">
        <v>3252</v>
      </c>
      <c r="K122" s="1">
        <v>0.1</v>
      </c>
      <c r="L122" s="1">
        <v>29268</v>
      </c>
      <c r="M122" s="1" t="s">
        <v>18</v>
      </c>
    </row>
    <row r="123" spans="1:13" x14ac:dyDescent="0.35">
      <c r="A123" s="1" t="s">
        <v>327</v>
      </c>
      <c r="B123" s="2">
        <v>45296</v>
      </c>
      <c r="C123" s="1" t="s">
        <v>328</v>
      </c>
      <c r="D123" s="1" t="s">
        <v>1493</v>
      </c>
      <c r="E123" s="1" t="s">
        <v>48</v>
      </c>
      <c r="F123" s="1" t="s">
        <v>17</v>
      </c>
      <c r="G123" s="1">
        <v>9</v>
      </c>
      <c r="H123" s="1">
        <v>320</v>
      </c>
      <c r="I123" s="1">
        <v>2880</v>
      </c>
      <c r="J123" s="1">
        <v>172.79999999999998</v>
      </c>
      <c r="K123" s="1">
        <v>0.06</v>
      </c>
      <c r="L123" s="1">
        <v>2707.2</v>
      </c>
      <c r="M123" s="1" t="s">
        <v>18</v>
      </c>
    </row>
    <row r="124" spans="1:13" x14ac:dyDescent="0.35">
      <c r="A124" s="1" t="s">
        <v>329</v>
      </c>
      <c r="B124" s="2">
        <v>45619</v>
      </c>
      <c r="C124" s="1" t="s">
        <v>330</v>
      </c>
      <c r="D124" s="1" t="s">
        <v>1490</v>
      </c>
      <c r="E124" s="1" t="s">
        <v>39</v>
      </c>
      <c r="F124" s="1" t="s">
        <v>22</v>
      </c>
      <c r="G124" s="1">
        <v>6</v>
      </c>
      <c r="H124" s="1">
        <v>4275</v>
      </c>
      <c r="I124" s="1">
        <v>25650</v>
      </c>
      <c r="J124" s="1">
        <v>1539</v>
      </c>
      <c r="K124" s="1">
        <v>0.06</v>
      </c>
      <c r="L124" s="1">
        <v>24111</v>
      </c>
      <c r="M124" s="1" t="s">
        <v>18</v>
      </c>
    </row>
    <row r="125" spans="1:13" x14ac:dyDescent="0.35">
      <c r="A125" s="1" t="s">
        <v>331</v>
      </c>
      <c r="B125" s="2">
        <v>45388</v>
      </c>
      <c r="C125" s="1" t="s">
        <v>332</v>
      </c>
      <c r="D125" s="1" t="s">
        <v>1490</v>
      </c>
      <c r="E125" s="1" t="s">
        <v>32</v>
      </c>
      <c r="F125" s="1" t="s">
        <v>17</v>
      </c>
      <c r="G125" s="1">
        <v>10</v>
      </c>
      <c r="H125" s="1">
        <v>3075</v>
      </c>
      <c r="I125" s="1">
        <v>30750</v>
      </c>
      <c r="J125" s="1">
        <v>1845</v>
      </c>
      <c r="K125" s="1">
        <v>0.06</v>
      </c>
      <c r="L125" s="1">
        <v>28905</v>
      </c>
      <c r="M125" s="1" t="s">
        <v>18</v>
      </c>
    </row>
    <row r="126" spans="1:13" x14ac:dyDescent="0.35">
      <c r="A126" s="1" t="s">
        <v>333</v>
      </c>
      <c r="B126" s="2">
        <v>45283</v>
      </c>
      <c r="C126" s="1" t="s">
        <v>334</v>
      </c>
      <c r="D126" s="1" t="s">
        <v>1490</v>
      </c>
      <c r="E126" s="1" t="s">
        <v>39</v>
      </c>
      <c r="F126" s="1" t="s">
        <v>22</v>
      </c>
      <c r="G126" s="1">
        <v>2</v>
      </c>
      <c r="H126" s="1">
        <v>1171</v>
      </c>
      <c r="I126" s="1">
        <v>2342</v>
      </c>
      <c r="J126" s="1">
        <v>46.84</v>
      </c>
      <c r="K126" s="1">
        <v>0.02</v>
      </c>
      <c r="L126" s="1">
        <v>2295.16</v>
      </c>
      <c r="M126" s="1" t="s">
        <v>18</v>
      </c>
    </row>
    <row r="127" spans="1:13" x14ac:dyDescent="0.35">
      <c r="A127" s="1" t="s">
        <v>335</v>
      </c>
      <c r="B127" s="2">
        <v>44991</v>
      </c>
      <c r="C127" s="1" t="s">
        <v>210</v>
      </c>
      <c r="D127" s="1" t="s">
        <v>1490</v>
      </c>
      <c r="E127" s="1" t="s">
        <v>21</v>
      </c>
      <c r="F127" s="1" t="s">
        <v>22</v>
      </c>
      <c r="G127" s="1">
        <v>9</v>
      </c>
      <c r="H127" s="1">
        <v>2481</v>
      </c>
      <c r="I127" s="1">
        <v>22329</v>
      </c>
      <c r="J127" s="1">
        <v>2456.19</v>
      </c>
      <c r="K127" s="1">
        <v>0.11</v>
      </c>
      <c r="L127" s="1">
        <v>19872.810000000001</v>
      </c>
      <c r="M127" s="1" t="s">
        <v>18</v>
      </c>
    </row>
    <row r="128" spans="1:13" x14ac:dyDescent="0.35">
      <c r="A128" s="1" t="s">
        <v>336</v>
      </c>
      <c r="B128" s="2">
        <v>44987</v>
      </c>
      <c r="C128" s="1" t="s">
        <v>204</v>
      </c>
      <c r="D128" s="1" t="s">
        <v>1490</v>
      </c>
      <c r="E128" s="1" t="s">
        <v>57</v>
      </c>
      <c r="F128" s="1" t="s">
        <v>45</v>
      </c>
      <c r="G128" s="1">
        <v>2</v>
      </c>
      <c r="H128" s="1">
        <v>523</v>
      </c>
      <c r="I128" s="1">
        <v>1046</v>
      </c>
      <c r="J128" s="1">
        <v>198.74</v>
      </c>
      <c r="K128" s="1">
        <v>0.19</v>
      </c>
      <c r="L128" s="1">
        <v>847.26</v>
      </c>
      <c r="M128" s="1" t="s">
        <v>18</v>
      </c>
    </row>
    <row r="129" spans="1:13" x14ac:dyDescent="0.35">
      <c r="A129" s="1" t="s">
        <v>337</v>
      </c>
      <c r="B129" s="2">
        <v>45584</v>
      </c>
      <c r="C129" s="1" t="s">
        <v>101</v>
      </c>
      <c r="D129" s="1" t="s">
        <v>1493</v>
      </c>
      <c r="E129" s="1" t="s">
        <v>48</v>
      </c>
      <c r="F129" s="1" t="s">
        <v>17</v>
      </c>
      <c r="G129" s="1">
        <v>4</v>
      </c>
      <c r="H129" s="1">
        <v>3069</v>
      </c>
      <c r="I129" s="1">
        <v>12276</v>
      </c>
      <c r="J129" s="1">
        <v>1473.12</v>
      </c>
      <c r="K129" s="1">
        <v>0.12</v>
      </c>
      <c r="L129" s="1">
        <v>10802.88</v>
      </c>
      <c r="M129" s="1" t="s">
        <v>18</v>
      </c>
    </row>
    <row r="130" spans="1:13" x14ac:dyDescent="0.35">
      <c r="A130" s="1" t="s">
        <v>338</v>
      </c>
      <c r="B130" s="2">
        <v>44985</v>
      </c>
      <c r="C130" s="1" t="s">
        <v>339</v>
      </c>
      <c r="D130" s="1" t="s">
        <v>1490</v>
      </c>
      <c r="E130" s="1" t="s">
        <v>32</v>
      </c>
      <c r="F130" s="1" t="s">
        <v>17</v>
      </c>
      <c r="G130" s="1">
        <v>3</v>
      </c>
      <c r="H130" s="1">
        <v>3127</v>
      </c>
      <c r="I130" s="1">
        <v>9381</v>
      </c>
      <c r="J130" s="1">
        <v>562.86</v>
      </c>
      <c r="K130" s="1">
        <v>0.06</v>
      </c>
      <c r="L130" s="1">
        <v>8818.14</v>
      </c>
      <c r="M130" s="1" t="s">
        <v>18</v>
      </c>
    </row>
    <row r="131" spans="1:13" x14ac:dyDescent="0.35">
      <c r="A131" s="1" t="s">
        <v>340</v>
      </c>
      <c r="B131" s="2">
        <v>45284</v>
      </c>
      <c r="C131" s="1" t="s">
        <v>339</v>
      </c>
      <c r="D131" s="1" t="s">
        <v>1490</v>
      </c>
      <c r="E131" s="1" t="s">
        <v>48</v>
      </c>
      <c r="F131" s="1" t="s">
        <v>17</v>
      </c>
      <c r="G131" s="1">
        <v>3</v>
      </c>
      <c r="H131" s="1">
        <v>2299</v>
      </c>
      <c r="I131" s="1">
        <v>6897</v>
      </c>
      <c r="J131" s="1">
        <v>2000.1299999999999</v>
      </c>
      <c r="K131" s="1">
        <v>0.28999999999999998</v>
      </c>
      <c r="L131" s="1">
        <v>4896.87</v>
      </c>
      <c r="M131" s="1" t="s">
        <v>18</v>
      </c>
    </row>
    <row r="132" spans="1:13" x14ac:dyDescent="0.35">
      <c r="A132" s="1" t="s">
        <v>341</v>
      </c>
      <c r="B132" s="2">
        <v>45329</v>
      </c>
      <c r="C132" s="1" t="s">
        <v>142</v>
      </c>
      <c r="D132" s="1" t="s">
        <v>1493</v>
      </c>
      <c r="E132" s="1" t="s">
        <v>57</v>
      </c>
      <c r="F132" s="1" t="s">
        <v>45</v>
      </c>
      <c r="G132" s="1">
        <v>2</v>
      </c>
      <c r="H132" s="1">
        <v>4152</v>
      </c>
      <c r="I132" s="1">
        <v>8304</v>
      </c>
      <c r="J132" s="1">
        <v>581.28000000000009</v>
      </c>
      <c r="K132" s="1">
        <v>7.0000000000000007E-2</v>
      </c>
      <c r="L132" s="1">
        <v>7722.72</v>
      </c>
      <c r="M132" s="1" t="s">
        <v>18</v>
      </c>
    </row>
    <row r="133" spans="1:13" x14ac:dyDescent="0.35">
      <c r="A133" s="1" t="s">
        <v>342</v>
      </c>
      <c r="B133" s="2">
        <v>45294</v>
      </c>
      <c r="C133" s="1" t="s">
        <v>210</v>
      </c>
      <c r="D133" s="1" t="s">
        <v>1490</v>
      </c>
      <c r="E133" s="1" t="s">
        <v>39</v>
      </c>
      <c r="F133" s="1" t="s">
        <v>22</v>
      </c>
      <c r="G133" s="1">
        <v>6</v>
      </c>
      <c r="H133" s="1">
        <v>2631</v>
      </c>
      <c r="I133" s="1">
        <v>15786</v>
      </c>
      <c r="J133" s="1">
        <v>631.44000000000005</v>
      </c>
      <c r="K133" s="1">
        <v>0.04</v>
      </c>
      <c r="L133" s="1">
        <v>15154.56</v>
      </c>
      <c r="M133" s="1" t="s">
        <v>18</v>
      </c>
    </row>
    <row r="134" spans="1:13" x14ac:dyDescent="0.35">
      <c r="A134" s="1" t="s">
        <v>343</v>
      </c>
      <c r="B134" s="2">
        <v>45337</v>
      </c>
      <c r="C134" s="1" t="s">
        <v>344</v>
      </c>
      <c r="D134" s="1" t="s">
        <v>1492</v>
      </c>
      <c r="E134" s="1" t="s">
        <v>32</v>
      </c>
      <c r="F134" s="1" t="s">
        <v>17</v>
      </c>
      <c r="G134" s="1">
        <v>5</v>
      </c>
      <c r="H134" s="1">
        <v>4147</v>
      </c>
      <c r="I134" s="1">
        <v>20735</v>
      </c>
      <c r="J134" s="1">
        <v>1658.8</v>
      </c>
      <c r="K134" s="1">
        <v>0.08</v>
      </c>
      <c r="L134" s="1">
        <v>19076.2</v>
      </c>
      <c r="M134" s="1" t="s">
        <v>18</v>
      </c>
    </row>
    <row r="135" spans="1:13" x14ac:dyDescent="0.35">
      <c r="A135" s="1" t="s">
        <v>345</v>
      </c>
      <c r="B135" s="2">
        <v>45075</v>
      </c>
      <c r="C135" s="1" t="s">
        <v>273</v>
      </c>
      <c r="D135" s="1" t="s">
        <v>1493</v>
      </c>
      <c r="E135" s="1" t="s">
        <v>29</v>
      </c>
      <c r="F135" s="1" t="s">
        <v>22</v>
      </c>
      <c r="G135" s="1">
        <v>1</v>
      </c>
      <c r="H135" s="1">
        <v>4262</v>
      </c>
      <c r="I135" s="1">
        <v>4262</v>
      </c>
      <c r="J135" s="1">
        <v>1150.74</v>
      </c>
      <c r="K135" s="1">
        <v>0.27</v>
      </c>
      <c r="L135" s="1">
        <v>3111.26</v>
      </c>
      <c r="M135" s="1" t="s">
        <v>18</v>
      </c>
    </row>
    <row r="136" spans="1:13" x14ac:dyDescent="0.35">
      <c r="A136" s="1" t="s">
        <v>346</v>
      </c>
      <c r="B136" s="2">
        <v>44953</v>
      </c>
      <c r="C136" s="1" t="s">
        <v>252</v>
      </c>
      <c r="D136" s="1" t="s">
        <v>1492</v>
      </c>
      <c r="E136" s="1" t="s">
        <v>32</v>
      </c>
      <c r="F136" s="1" t="s">
        <v>17</v>
      </c>
      <c r="G136" s="1">
        <v>3</v>
      </c>
      <c r="H136" s="1">
        <v>512</v>
      </c>
      <c r="I136" s="1">
        <v>1536</v>
      </c>
      <c r="J136" s="1">
        <v>168.96</v>
      </c>
      <c r="K136" s="1">
        <v>0.11</v>
      </c>
      <c r="L136" s="1">
        <v>1367.04</v>
      </c>
      <c r="M136" s="1" t="s">
        <v>18</v>
      </c>
    </row>
    <row r="137" spans="1:13" x14ac:dyDescent="0.35">
      <c r="A137" s="1" t="s">
        <v>347</v>
      </c>
      <c r="B137" s="2">
        <v>45144</v>
      </c>
      <c r="C137" s="1" t="s">
        <v>348</v>
      </c>
      <c r="D137" s="1" t="s">
        <v>1492</v>
      </c>
      <c r="E137" s="1" t="s">
        <v>16</v>
      </c>
      <c r="F137" s="1" t="s">
        <v>17</v>
      </c>
      <c r="G137" s="1">
        <v>5</v>
      </c>
      <c r="H137" s="1">
        <v>1310</v>
      </c>
      <c r="I137" s="1">
        <v>6550</v>
      </c>
      <c r="J137" s="1">
        <v>720.5</v>
      </c>
      <c r="K137" s="1">
        <v>0.11</v>
      </c>
      <c r="L137" s="1">
        <v>5829.5</v>
      </c>
      <c r="M137" s="1" t="s">
        <v>18</v>
      </c>
    </row>
    <row r="138" spans="1:13" x14ac:dyDescent="0.35">
      <c r="A138" s="1" t="s">
        <v>349</v>
      </c>
      <c r="B138" s="2">
        <v>45648</v>
      </c>
      <c r="C138" s="1" t="s">
        <v>266</v>
      </c>
      <c r="D138" s="1" t="s">
        <v>1490</v>
      </c>
      <c r="E138" s="1" t="s">
        <v>21</v>
      </c>
      <c r="F138" s="1" t="s">
        <v>22</v>
      </c>
      <c r="G138" s="1">
        <v>7</v>
      </c>
      <c r="H138" s="1">
        <v>403</v>
      </c>
      <c r="I138" s="1">
        <v>2821</v>
      </c>
      <c r="J138" s="1">
        <v>620.62</v>
      </c>
      <c r="K138" s="1">
        <v>0.22</v>
      </c>
      <c r="L138" s="1">
        <v>2200.38</v>
      </c>
      <c r="M138" s="1" t="s">
        <v>18</v>
      </c>
    </row>
    <row r="139" spans="1:13" x14ac:dyDescent="0.35">
      <c r="A139" s="1" t="s">
        <v>350</v>
      </c>
      <c r="B139" s="2">
        <v>45085</v>
      </c>
      <c r="C139" s="1" t="s">
        <v>229</v>
      </c>
      <c r="D139" s="1" t="s">
        <v>1492</v>
      </c>
      <c r="E139" s="1" t="s">
        <v>26</v>
      </c>
      <c r="F139" s="1" t="s">
        <v>17</v>
      </c>
      <c r="G139" s="1">
        <v>2</v>
      </c>
      <c r="H139" s="1">
        <v>1696</v>
      </c>
      <c r="I139" s="1">
        <v>3392</v>
      </c>
      <c r="J139" s="1">
        <v>678.40000000000009</v>
      </c>
      <c r="K139" s="1">
        <v>0.2</v>
      </c>
      <c r="L139" s="1">
        <v>2713.6</v>
      </c>
      <c r="M139" s="1" t="s">
        <v>18</v>
      </c>
    </row>
    <row r="140" spans="1:13" x14ac:dyDescent="0.35">
      <c r="A140" s="1" t="s">
        <v>351</v>
      </c>
      <c r="B140" s="2">
        <v>45063</v>
      </c>
      <c r="C140" s="1" t="s">
        <v>352</v>
      </c>
      <c r="D140" s="1" t="s">
        <v>1490</v>
      </c>
      <c r="E140" s="1" t="s">
        <v>16</v>
      </c>
      <c r="F140" s="1" t="s">
        <v>17</v>
      </c>
      <c r="G140" s="1">
        <v>1</v>
      </c>
      <c r="H140" s="1">
        <v>754</v>
      </c>
      <c r="I140" s="1">
        <v>754</v>
      </c>
      <c r="J140" s="1">
        <v>120.64</v>
      </c>
      <c r="K140" s="1">
        <v>0.16</v>
      </c>
      <c r="L140" s="1">
        <v>633.36</v>
      </c>
      <c r="M140" s="1" t="s">
        <v>18</v>
      </c>
    </row>
    <row r="141" spans="1:13" x14ac:dyDescent="0.35">
      <c r="A141" s="1" t="s">
        <v>353</v>
      </c>
      <c r="B141" s="2">
        <v>45030</v>
      </c>
      <c r="C141" s="1" t="s">
        <v>138</v>
      </c>
      <c r="D141" s="1" t="s">
        <v>1490</v>
      </c>
      <c r="E141" s="1" t="s">
        <v>32</v>
      </c>
      <c r="F141" s="1" t="s">
        <v>17</v>
      </c>
      <c r="G141" s="1">
        <v>3</v>
      </c>
      <c r="H141" s="1">
        <v>3484</v>
      </c>
      <c r="I141" s="1">
        <v>10452</v>
      </c>
      <c r="J141" s="1">
        <v>1149.72</v>
      </c>
      <c r="K141" s="1">
        <v>0.11</v>
      </c>
      <c r="L141" s="1">
        <v>9302.2800000000007</v>
      </c>
      <c r="M141" s="1" t="s">
        <v>18</v>
      </c>
    </row>
    <row r="142" spans="1:13" x14ac:dyDescent="0.35">
      <c r="A142" s="1" t="s">
        <v>354</v>
      </c>
      <c r="B142" s="2">
        <v>45503</v>
      </c>
      <c r="C142" s="1" t="s">
        <v>214</v>
      </c>
      <c r="D142" s="1" t="s">
        <v>1491</v>
      </c>
      <c r="E142" s="1" t="s">
        <v>181</v>
      </c>
      <c r="F142" s="1" t="s">
        <v>22</v>
      </c>
      <c r="G142" s="1">
        <v>2</v>
      </c>
      <c r="H142" s="1">
        <v>3065</v>
      </c>
      <c r="I142" s="1">
        <v>6130</v>
      </c>
      <c r="J142" s="1">
        <v>122.60000000000001</v>
      </c>
      <c r="K142" s="1">
        <v>0.02</v>
      </c>
      <c r="L142" s="1">
        <v>6007.4</v>
      </c>
      <c r="M142" s="1" t="s">
        <v>18</v>
      </c>
    </row>
    <row r="143" spans="1:13" x14ac:dyDescent="0.35">
      <c r="A143" s="1" t="s">
        <v>355</v>
      </c>
      <c r="B143" s="2">
        <v>45175</v>
      </c>
      <c r="C143" s="1" t="s">
        <v>356</v>
      </c>
      <c r="D143" s="1" t="s">
        <v>1491</v>
      </c>
      <c r="E143" s="1" t="s">
        <v>26</v>
      </c>
      <c r="F143" s="1" t="s">
        <v>17</v>
      </c>
      <c r="G143" s="1">
        <v>10</v>
      </c>
      <c r="H143" s="1">
        <v>1819</v>
      </c>
      <c r="I143" s="1">
        <v>18190</v>
      </c>
      <c r="J143" s="1">
        <v>2728.5</v>
      </c>
      <c r="K143" s="1">
        <v>0.15</v>
      </c>
      <c r="L143" s="1">
        <v>15461.5</v>
      </c>
      <c r="M143" s="1" t="s">
        <v>18</v>
      </c>
    </row>
    <row r="144" spans="1:13" x14ac:dyDescent="0.35">
      <c r="A144" s="1" t="s">
        <v>357</v>
      </c>
      <c r="B144" s="2">
        <v>45521</v>
      </c>
      <c r="C144" s="1" t="s">
        <v>246</v>
      </c>
      <c r="D144" s="1" t="s">
        <v>1492</v>
      </c>
      <c r="E144" s="1" t="s">
        <v>48</v>
      </c>
      <c r="F144" s="1" t="s">
        <v>17</v>
      </c>
      <c r="G144" s="1">
        <v>7</v>
      </c>
      <c r="H144" s="1">
        <v>3336</v>
      </c>
      <c r="I144" s="1">
        <v>23352</v>
      </c>
      <c r="J144" s="1">
        <v>4903.92</v>
      </c>
      <c r="K144" s="1">
        <v>0.21</v>
      </c>
      <c r="L144" s="1">
        <v>18448.080000000002</v>
      </c>
      <c r="M144" s="1" t="s">
        <v>18</v>
      </c>
    </row>
    <row r="145" spans="1:13" x14ac:dyDescent="0.35">
      <c r="A145" s="1" t="s">
        <v>358</v>
      </c>
      <c r="B145" s="2">
        <v>44967</v>
      </c>
      <c r="C145" s="1" t="s">
        <v>275</v>
      </c>
      <c r="D145" s="1" t="s">
        <v>1492</v>
      </c>
      <c r="E145" s="1" t="s">
        <v>44</v>
      </c>
      <c r="F145" s="1" t="s">
        <v>45</v>
      </c>
      <c r="G145" s="1">
        <v>3</v>
      </c>
      <c r="H145" s="1">
        <v>1738</v>
      </c>
      <c r="I145" s="1">
        <v>5214</v>
      </c>
      <c r="J145" s="1">
        <v>1042.8</v>
      </c>
      <c r="K145" s="1">
        <v>0.2</v>
      </c>
      <c r="L145" s="1">
        <v>4171.2</v>
      </c>
      <c r="M145" s="1" t="s">
        <v>18</v>
      </c>
    </row>
    <row r="146" spans="1:13" x14ac:dyDescent="0.35">
      <c r="A146" s="1" t="s">
        <v>359</v>
      </c>
      <c r="B146" s="2">
        <v>45288</v>
      </c>
      <c r="C146" s="1" t="s">
        <v>360</v>
      </c>
      <c r="D146" s="1" t="s">
        <v>1493</v>
      </c>
      <c r="E146" s="1" t="s">
        <v>181</v>
      </c>
      <c r="F146" s="1" t="s">
        <v>22</v>
      </c>
      <c r="G146" s="1">
        <v>3</v>
      </c>
      <c r="H146" s="1">
        <v>4725</v>
      </c>
      <c r="I146" s="1">
        <v>14175</v>
      </c>
      <c r="J146" s="1">
        <v>567</v>
      </c>
      <c r="K146" s="1">
        <v>0.04</v>
      </c>
      <c r="L146" s="1">
        <v>13608</v>
      </c>
      <c r="M146" s="1" t="s">
        <v>18</v>
      </c>
    </row>
    <row r="147" spans="1:13" x14ac:dyDescent="0.35">
      <c r="A147" s="1" t="s">
        <v>361</v>
      </c>
      <c r="B147" s="2">
        <v>45457</v>
      </c>
      <c r="C147" s="1" t="s">
        <v>175</v>
      </c>
      <c r="D147" s="1" t="s">
        <v>1491</v>
      </c>
      <c r="E147" s="1" t="s">
        <v>29</v>
      </c>
      <c r="F147" s="1" t="s">
        <v>22</v>
      </c>
      <c r="G147" s="1">
        <v>7</v>
      </c>
      <c r="H147" s="1">
        <v>3965</v>
      </c>
      <c r="I147" s="1">
        <v>27755</v>
      </c>
      <c r="J147" s="1">
        <v>4995.8999999999996</v>
      </c>
      <c r="K147" s="1">
        <v>0.18</v>
      </c>
      <c r="L147" s="1">
        <v>22759.1</v>
      </c>
      <c r="M147" s="1" t="s">
        <v>18</v>
      </c>
    </row>
    <row r="148" spans="1:13" x14ac:dyDescent="0.35">
      <c r="A148" s="1" t="s">
        <v>362</v>
      </c>
      <c r="B148" s="2">
        <v>45269</v>
      </c>
      <c r="C148" s="1" t="s">
        <v>363</v>
      </c>
      <c r="D148" s="1" t="s">
        <v>1492</v>
      </c>
      <c r="E148" s="1" t="s">
        <v>48</v>
      </c>
      <c r="F148" s="1" t="s">
        <v>17</v>
      </c>
      <c r="G148" s="1">
        <v>8</v>
      </c>
      <c r="H148" s="1">
        <v>1688</v>
      </c>
      <c r="I148" s="1">
        <v>13504</v>
      </c>
      <c r="J148" s="1">
        <v>3105.92</v>
      </c>
      <c r="K148" s="1">
        <v>0.23</v>
      </c>
      <c r="L148" s="1">
        <v>10398.08</v>
      </c>
      <c r="M148" s="1" t="s">
        <v>18</v>
      </c>
    </row>
    <row r="149" spans="1:13" x14ac:dyDescent="0.35">
      <c r="A149" s="1" t="s">
        <v>364</v>
      </c>
      <c r="B149" s="2">
        <v>45454</v>
      </c>
      <c r="C149" s="1" t="s">
        <v>365</v>
      </c>
      <c r="D149" s="1" t="s">
        <v>1493</v>
      </c>
      <c r="E149" s="1" t="s">
        <v>189</v>
      </c>
      <c r="F149" s="1" t="s">
        <v>45</v>
      </c>
      <c r="G149" s="1">
        <v>3</v>
      </c>
      <c r="H149" s="1">
        <v>2783</v>
      </c>
      <c r="I149" s="1">
        <v>8349</v>
      </c>
      <c r="J149" s="1">
        <v>166.98</v>
      </c>
      <c r="K149" s="1">
        <v>0.02</v>
      </c>
      <c r="L149" s="1">
        <v>8182.02</v>
      </c>
      <c r="M149" s="1" t="s">
        <v>18</v>
      </c>
    </row>
    <row r="150" spans="1:13" x14ac:dyDescent="0.35">
      <c r="A150" s="1" t="s">
        <v>366</v>
      </c>
      <c r="B150" s="2">
        <v>45632</v>
      </c>
      <c r="C150" s="1" t="s">
        <v>367</v>
      </c>
      <c r="D150" s="1" t="s">
        <v>1492</v>
      </c>
      <c r="E150" s="1" t="s">
        <v>39</v>
      </c>
      <c r="F150" s="1" t="s">
        <v>22</v>
      </c>
      <c r="G150" s="1">
        <v>7</v>
      </c>
      <c r="H150" s="1">
        <v>2054</v>
      </c>
      <c r="I150" s="1">
        <v>14378</v>
      </c>
      <c r="J150" s="1">
        <v>718.90000000000009</v>
      </c>
      <c r="K150" s="1">
        <v>0.05</v>
      </c>
      <c r="L150" s="1">
        <v>13659.1</v>
      </c>
      <c r="M150" s="1" t="s">
        <v>18</v>
      </c>
    </row>
    <row r="151" spans="1:13" x14ac:dyDescent="0.35">
      <c r="A151" s="1" t="s">
        <v>368</v>
      </c>
      <c r="B151" s="2">
        <v>45496</v>
      </c>
      <c r="C151" s="1" t="s">
        <v>59</v>
      </c>
      <c r="D151" s="1" t="s">
        <v>1492</v>
      </c>
      <c r="E151" s="1" t="s">
        <v>189</v>
      </c>
      <c r="F151" s="1" t="s">
        <v>45</v>
      </c>
      <c r="G151" s="1">
        <v>10</v>
      </c>
      <c r="H151" s="1">
        <v>4490</v>
      </c>
      <c r="I151" s="1">
        <v>44900</v>
      </c>
      <c r="J151" s="1">
        <v>449</v>
      </c>
      <c r="K151" s="1">
        <v>0.01</v>
      </c>
      <c r="L151" s="1">
        <v>44451</v>
      </c>
      <c r="M151" s="1" t="s">
        <v>18</v>
      </c>
    </row>
    <row r="152" spans="1:13" x14ac:dyDescent="0.35">
      <c r="A152" s="1" t="s">
        <v>369</v>
      </c>
      <c r="B152" s="2">
        <v>45523</v>
      </c>
      <c r="C152" s="1" t="s">
        <v>370</v>
      </c>
      <c r="D152" s="1" t="s">
        <v>1490</v>
      </c>
      <c r="E152" s="1" t="s">
        <v>44</v>
      </c>
      <c r="F152" s="1" t="s">
        <v>45</v>
      </c>
      <c r="G152" s="1">
        <v>1</v>
      </c>
      <c r="H152" s="1">
        <v>3165</v>
      </c>
      <c r="I152" s="1">
        <v>3165</v>
      </c>
      <c r="J152" s="1">
        <v>316.5</v>
      </c>
      <c r="K152" s="1">
        <v>0.1</v>
      </c>
      <c r="L152" s="1">
        <v>2848.5</v>
      </c>
      <c r="M152" s="1" t="s">
        <v>18</v>
      </c>
    </row>
    <row r="153" spans="1:13" x14ac:dyDescent="0.35">
      <c r="A153" s="1" t="s">
        <v>371</v>
      </c>
      <c r="B153" s="2">
        <v>45444</v>
      </c>
      <c r="C153" s="1" t="s">
        <v>172</v>
      </c>
      <c r="D153" s="1" t="s">
        <v>1493</v>
      </c>
      <c r="E153" s="1" t="s">
        <v>60</v>
      </c>
      <c r="F153" s="1" t="s">
        <v>45</v>
      </c>
      <c r="G153" s="1">
        <v>7</v>
      </c>
      <c r="H153" s="1">
        <v>1532</v>
      </c>
      <c r="I153" s="1">
        <v>10724</v>
      </c>
      <c r="J153" s="1">
        <v>643.43999999999994</v>
      </c>
      <c r="K153" s="1">
        <v>0.06</v>
      </c>
      <c r="L153" s="1">
        <v>10080.56</v>
      </c>
      <c r="M153" s="1" t="s">
        <v>18</v>
      </c>
    </row>
    <row r="154" spans="1:13" x14ac:dyDescent="0.35">
      <c r="A154" s="1" t="s">
        <v>372</v>
      </c>
      <c r="B154" s="2">
        <v>45166</v>
      </c>
      <c r="C154" s="1" t="s">
        <v>37</v>
      </c>
      <c r="D154" s="1" t="s">
        <v>1493</v>
      </c>
      <c r="E154" s="1" t="s">
        <v>60</v>
      </c>
      <c r="F154" s="1" t="s">
        <v>45</v>
      </c>
      <c r="G154" s="1">
        <v>2</v>
      </c>
      <c r="H154" s="1">
        <v>720</v>
      </c>
      <c r="I154" s="1">
        <v>1440</v>
      </c>
      <c r="J154" s="1">
        <v>316.8</v>
      </c>
      <c r="K154" s="1">
        <v>0.22</v>
      </c>
      <c r="L154" s="1">
        <v>1123.2</v>
      </c>
      <c r="M154" s="1" t="s">
        <v>18</v>
      </c>
    </row>
    <row r="155" spans="1:13" x14ac:dyDescent="0.35">
      <c r="A155" s="1" t="s">
        <v>373</v>
      </c>
      <c r="B155" s="2">
        <v>45131</v>
      </c>
      <c r="C155" s="1" t="s">
        <v>374</v>
      </c>
      <c r="D155" s="1" t="s">
        <v>1490</v>
      </c>
      <c r="E155" s="1" t="s">
        <v>48</v>
      </c>
      <c r="F155" s="1" t="s">
        <v>17</v>
      </c>
      <c r="G155" s="1">
        <v>7</v>
      </c>
      <c r="H155" s="1">
        <v>1939</v>
      </c>
      <c r="I155" s="1">
        <v>13573</v>
      </c>
      <c r="J155" s="1">
        <v>4071.8999999999996</v>
      </c>
      <c r="K155" s="1">
        <v>0.3</v>
      </c>
      <c r="L155" s="1">
        <v>9501.1</v>
      </c>
      <c r="M155" s="1" t="s">
        <v>18</v>
      </c>
    </row>
    <row r="156" spans="1:13" x14ac:dyDescent="0.35">
      <c r="A156" s="1" t="s">
        <v>375</v>
      </c>
      <c r="B156" s="2">
        <v>45447</v>
      </c>
      <c r="C156" s="1" t="s">
        <v>134</v>
      </c>
      <c r="D156" s="1" t="s">
        <v>1492</v>
      </c>
      <c r="E156" s="1" t="s">
        <v>189</v>
      </c>
      <c r="F156" s="1" t="s">
        <v>45</v>
      </c>
      <c r="G156" s="1">
        <v>7</v>
      </c>
      <c r="H156" s="1">
        <v>3276</v>
      </c>
      <c r="I156" s="1">
        <v>22932</v>
      </c>
      <c r="J156" s="1">
        <v>6420.9600000000009</v>
      </c>
      <c r="K156" s="1">
        <v>0.28000000000000003</v>
      </c>
      <c r="L156" s="1">
        <v>16511.04</v>
      </c>
      <c r="M156" s="1" t="s">
        <v>18</v>
      </c>
    </row>
    <row r="157" spans="1:13" x14ac:dyDescent="0.35">
      <c r="A157" s="1" t="s">
        <v>376</v>
      </c>
      <c r="B157" s="2">
        <v>45321</v>
      </c>
      <c r="C157" s="1" t="s">
        <v>116</v>
      </c>
      <c r="D157" s="1" t="s">
        <v>1490</v>
      </c>
      <c r="E157" s="1" t="s">
        <v>57</v>
      </c>
      <c r="F157" s="1" t="s">
        <v>45</v>
      </c>
      <c r="G157" s="1">
        <v>4</v>
      </c>
      <c r="H157" s="1">
        <v>4856</v>
      </c>
      <c r="I157" s="1">
        <v>19424</v>
      </c>
      <c r="J157" s="1">
        <v>3302.0800000000004</v>
      </c>
      <c r="K157" s="1">
        <v>0.17</v>
      </c>
      <c r="L157" s="1">
        <v>16121.92</v>
      </c>
      <c r="M157" s="1" t="s">
        <v>18</v>
      </c>
    </row>
    <row r="158" spans="1:13" x14ac:dyDescent="0.35">
      <c r="A158" s="1" t="s">
        <v>377</v>
      </c>
      <c r="B158" s="2">
        <v>45636</v>
      </c>
      <c r="C158" s="1" t="s">
        <v>378</v>
      </c>
      <c r="D158" s="1" t="s">
        <v>1491</v>
      </c>
      <c r="E158" s="1" t="s">
        <v>57</v>
      </c>
      <c r="F158" s="1" t="s">
        <v>45</v>
      </c>
      <c r="G158" s="1">
        <v>10</v>
      </c>
      <c r="H158" s="1">
        <v>1453</v>
      </c>
      <c r="I158" s="1">
        <v>14530</v>
      </c>
      <c r="J158" s="1">
        <v>145.30000000000001</v>
      </c>
      <c r="K158" s="1">
        <v>0.01</v>
      </c>
      <c r="L158" s="1">
        <v>14384.7</v>
      </c>
      <c r="M158" s="1" t="s">
        <v>18</v>
      </c>
    </row>
    <row r="159" spans="1:13" x14ac:dyDescent="0.35">
      <c r="A159" s="1" t="s">
        <v>379</v>
      </c>
      <c r="B159" s="2">
        <v>45587</v>
      </c>
      <c r="C159" s="1" t="s">
        <v>380</v>
      </c>
      <c r="D159" s="1" t="s">
        <v>1493</v>
      </c>
      <c r="E159" s="1" t="s">
        <v>21</v>
      </c>
      <c r="F159" s="1" t="s">
        <v>22</v>
      </c>
      <c r="G159" s="1">
        <v>5</v>
      </c>
      <c r="H159" s="1">
        <v>3217</v>
      </c>
      <c r="I159" s="1">
        <v>16085</v>
      </c>
      <c r="J159" s="1">
        <v>3860.3999999999996</v>
      </c>
      <c r="K159" s="1">
        <v>0.24</v>
      </c>
      <c r="L159" s="1">
        <v>12224.6</v>
      </c>
      <c r="M159" s="1" t="s">
        <v>18</v>
      </c>
    </row>
    <row r="160" spans="1:13" x14ac:dyDescent="0.35">
      <c r="A160" s="1" t="s">
        <v>381</v>
      </c>
      <c r="B160" s="2">
        <v>45185</v>
      </c>
      <c r="C160" s="1" t="s">
        <v>382</v>
      </c>
      <c r="D160" s="1" t="s">
        <v>1490</v>
      </c>
      <c r="E160" s="1" t="s">
        <v>39</v>
      </c>
      <c r="F160" s="1" t="s">
        <v>22</v>
      </c>
      <c r="G160" s="1">
        <v>1</v>
      </c>
      <c r="H160" s="1">
        <v>3352</v>
      </c>
      <c r="I160" s="1">
        <v>3352</v>
      </c>
      <c r="J160" s="1">
        <v>402.24</v>
      </c>
      <c r="K160" s="1">
        <v>0.12</v>
      </c>
      <c r="L160" s="1">
        <v>2949.76</v>
      </c>
      <c r="M160" s="1" t="s">
        <v>18</v>
      </c>
    </row>
    <row r="161" spans="1:13" x14ac:dyDescent="0.35">
      <c r="A161" s="1" t="s">
        <v>383</v>
      </c>
      <c r="B161" s="2">
        <v>45326</v>
      </c>
      <c r="C161" s="1" t="s">
        <v>384</v>
      </c>
      <c r="D161" s="1" t="s">
        <v>1490</v>
      </c>
      <c r="E161" s="1" t="s">
        <v>32</v>
      </c>
      <c r="F161" s="1" t="s">
        <v>17</v>
      </c>
      <c r="G161" s="1">
        <v>7</v>
      </c>
      <c r="H161" s="1">
        <v>1869</v>
      </c>
      <c r="I161" s="1">
        <v>13083</v>
      </c>
      <c r="J161" s="1">
        <v>915.81000000000006</v>
      </c>
      <c r="K161" s="1">
        <v>7.0000000000000007E-2</v>
      </c>
      <c r="L161" s="1">
        <v>12167.19</v>
      </c>
      <c r="M161" s="1" t="s">
        <v>18</v>
      </c>
    </row>
    <row r="162" spans="1:13" x14ac:dyDescent="0.35">
      <c r="A162" s="1" t="s">
        <v>385</v>
      </c>
      <c r="B162" s="2">
        <v>45389</v>
      </c>
      <c r="C162" s="1" t="s">
        <v>107</v>
      </c>
      <c r="D162" s="1" t="s">
        <v>1490</v>
      </c>
      <c r="E162" s="1" t="s">
        <v>32</v>
      </c>
      <c r="F162" s="1" t="s">
        <v>17</v>
      </c>
      <c r="G162" s="1">
        <v>4</v>
      </c>
      <c r="H162" s="1">
        <v>3931</v>
      </c>
      <c r="I162" s="1">
        <v>15724</v>
      </c>
      <c r="J162" s="1">
        <v>3302.04</v>
      </c>
      <c r="K162" s="1">
        <v>0.21</v>
      </c>
      <c r="L162" s="1">
        <v>12421.96</v>
      </c>
      <c r="M162" s="1" t="s">
        <v>18</v>
      </c>
    </row>
    <row r="163" spans="1:13" x14ac:dyDescent="0.35">
      <c r="A163" s="1" t="s">
        <v>386</v>
      </c>
      <c r="B163" s="2">
        <v>44976</v>
      </c>
      <c r="C163" s="1" t="s">
        <v>246</v>
      </c>
      <c r="D163" s="1" t="s">
        <v>1492</v>
      </c>
      <c r="E163" s="1" t="s">
        <v>48</v>
      </c>
      <c r="F163" s="1" t="s">
        <v>17</v>
      </c>
      <c r="G163" s="1">
        <v>4</v>
      </c>
      <c r="H163" s="1">
        <v>1348</v>
      </c>
      <c r="I163" s="1">
        <v>5392</v>
      </c>
      <c r="J163" s="1">
        <v>1348</v>
      </c>
      <c r="K163" s="1">
        <v>0.25</v>
      </c>
      <c r="L163" s="1">
        <v>4044</v>
      </c>
      <c r="M163" s="1" t="s">
        <v>18</v>
      </c>
    </row>
    <row r="164" spans="1:13" x14ac:dyDescent="0.35">
      <c r="A164" s="1" t="s">
        <v>387</v>
      </c>
      <c r="B164" s="2">
        <v>45049</v>
      </c>
      <c r="C164" s="1" t="s">
        <v>388</v>
      </c>
      <c r="D164" s="1" t="s">
        <v>1493</v>
      </c>
      <c r="E164" s="1" t="s">
        <v>26</v>
      </c>
      <c r="F164" s="1" t="s">
        <v>17</v>
      </c>
      <c r="G164" s="1">
        <v>6</v>
      </c>
      <c r="H164" s="1">
        <v>1736</v>
      </c>
      <c r="I164" s="1">
        <v>10416</v>
      </c>
      <c r="J164" s="1">
        <v>2499.8399999999997</v>
      </c>
      <c r="K164" s="1">
        <v>0.24</v>
      </c>
      <c r="L164" s="1">
        <v>7916.16</v>
      </c>
      <c r="M164" s="1" t="s">
        <v>18</v>
      </c>
    </row>
    <row r="165" spans="1:13" x14ac:dyDescent="0.35">
      <c r="A165" s="1" t="s">
        <v>389</v>
      </c>
      <c r="B165" s="2">
        <v>45383</v>
      </c>
      <c r="C165" s="1" t="s">
        <v>390</v>
      </c>
      <c r="D165" s="1" t="s">
        <v>1493</v>
      </c>
      <c r="E165" s="1" t="s">
        <v>60</v>
      </c>
      <c r="F165" s="1" t="s">
        <v>45</v>
      </c>
      <c r="G165" s="1">
        <v>4</v>
      </c>
      <c r="H165" s="1">
        <v>3077</v>
      </c>
      <c r="I165" s="1">
        <v>12308</v>
      </c>
      <c r="J165" s="1">
        <v>1969.28</v>
      </c>
      <c r="K165" s="1">
        <v>0.16</v>
      </c>
      <c r="L165" s="1">
        <v>10338.719999999999</v>
      </c>
      <c r="M165" s="1" t="s">
        <v>18</v>
      </c>
    </row>
    <row r="166" spans="1:13" x14ac:dyDescent="0.35">
      <c r="A166" s="1" t="s">
        <v>391</v>
      </c>
      <c r="B166" s="2">
        <v>45440</v>
      </c>
      <c r="C166" s="1" t="s">
        <v>142</v>
      </c>
      <c r="D166" s="1" t="s">
        <v>1493</v>
      </c>
      <c r="E166" s="1" t="s">
        <v>44</v>
      </c>
      <c r="F166" s="1" t="s">
        <v>45</v>
      </c>
      <c r="G166" s="1">
        <v>9</v>
      </c>
      <c r="H166" s="1">
        <v>354</v>
      </c>
      <c r="I166" s="1">
        <v>3186</v>
      </c>
      <c r="J166" s="1">
        <v>828.36</v>
      </c>
      <c r="K166" s="1">
        <v>0.26</v>
      </c>
      <c r="L166" s="1">
        <v>2357.64</v>
      </c>
      <c r="M166" s="1" t="s">
        <v>18</v>
      </c>
    </row>
    <row r="167" spans="1:13" x14ac:dyDescent="0.35">
      <c r="A167" s="1" t="s">
        <v>392</v>
      </c>
      <c r="B167" s="2">
        <v>45361</v>
      </c>
      <c r="C167" s="1" t="s">
        <v>311</v>
      </c>
      <c r="D167" s="1" t="s">
        <v>1490</v>
      </c>
      <c r="E167" s="1" t="s">
        <v>44</v>
      </c>
      <c r="F167" s="1" t="s">
        <v>45</v>
      </c>
      <c r="G167" s="1">
        <v>2</v>
      </c>
      <c r="H167" s="1">
        <v>2512</v>
      </c>
      <c r="I167" s="1">
        <v>5024</v>
      </c>
      <c r="J167" s="1">
        <v>1004.8000000000001</v>
      </c>
      <c r="K167" s="1">
        <v>0.2</v>
      </c>
      <c r="L167" s="1">
        <v>4019.2</v>
      </c>
      <c r="M167" s="1" t="s">
        <v>18</v>
      </c>
    </row>
    <row r="168" spans="1:13" x14ac:dyDescent="0.35">
      <c r="A168" s="1" t="s">
        <v>393</v>
      </c>
      <c r="B168" s="2">
        <v>45361</v>
      </c>
      <c r="C168" s="1" t="s">
        <v>394</v>
      </c>
      <c r="D168" s="1" t="s">
        <v>1491</v>
      </c>
      <c r="E168" s="1" t="s">
        <v>16</v>
      </c>
      <c r="F168" s="1" t="s">
        <v>17</v>
      </c>
      <c r="G168" s="1">
        <v>10</v>
      </c>
      <c r="H168" s="1">
        <v>3970</v>
      </c>
      <c r="I168" s="1">
        <v>39700</v>
      </c>
      <c r="J168" s="1">
        <v>1191</v>
      </c>
      <c r="K168" s="1">
        <v>0.03</v>
      </c>
      <c r="L168" s="1">
        <v>38509</v>
      </c>
      <c r="M168" s="1" t="s">
        <v>18</v>
      </c>
    </row>
    <row r="169" spans="1:13" x14ac:dyDescent="0.35">
      <c r="A169" s="1" t="s">
        <v>395</v>
      </c>
      <c r="B169" s="2">
        <v>45251</v>
      </c>
      <c r="C169" s="1" t="s">
        <v>396</v>
      </c>
      <c r="D169" s="1" t="s">
        <v>1490</v>
      </c>
      <c r="E169" s="1" t="s">
        <v>26</v>
      </c>
      <c r="F169" s="1" t="s">
        <v>17</v>
      </c>
      <c r="G169" s="1">
        <v>2</v>
      </c>
      <c r="H169" s="1">
        <v>2713</v>
      </c>
      <c r="I169" s="1">
        <v>5426</v>
      </c>
      <c r="J169" s="1">
        <v>162.78</v>
      </c>
      <c r="K169" s="1">
        <v>0.03</v>
      </c>
      <c r="L169" s="1">
        <v>5263.22</v>
      </c>
      <c r="M169" s="1" t="s">
        <v>18</v>
      </c>
    </row>
    <row r="170" spans="1:13" x14ac:dyDescent="0.35">
      <c r="A170" s="1" t="s">
        <v>397</v>
      </c>
      <c r="B170" s="2">
        <v>45550</v>
      </c>
      <c r="C170" s="1" t="s">
        <v>237</v>
      </c>
      <c r="D170" s="1" t="s">
        <v>1492</v>
      </c>
      <c r="E170" s="1" t="s">
        <v>26</v>
      </c>
      <c r="F170" s="1" t="s">
        <v>17</v>
      </c>
      <c r="G170" s="1">
        <v>3</v>
      </c>
      <c r="H170" s="1">
        <v>1709</v>
      </c>
      <c r="I170" s="1">
        <v>5127</v>
      </c>
      <c r="J170" s="1">
        <v>205.08</v>
      </c>
      <c r="K170" s="1">
        <v>0.04</v>
      </c>
      <c r="L170" s="1">
        <v>4921.92</v>
      </c>
      <c r="M170" s="1" t="s">
        <v>18</v>
      </c>
    </row>
    <row r="171" spans="1:13" x14ac:dyDescent="0.35">
      <c r="A171" s="1" t="s">
        <v>398</v>
      </c>
      <c r="B171" s="2">
        <v>45453</v>
      </c>
      <c r="C171" s="1" t="s">
        <v>140</v>
      </c>
      <c r="D171" s="1" t="s">
        <v>1490</v>
      </c>
      <c r="E171" s="1" t="s">
        <v>57</v>
      </c>
      <c r="F171" s="1" t="s">
        <v>45</v>
      </c>
      <c r="G171" s="1">
        <v>2</v>
      </c>
      <c r="H171" s="1">
        <v>4346</v>
      </c>
      <c r="I171" s="1">
        <v>8692</v>
      </c>
      <c r="J171" s="1">
        <v>2607.6</v>
      </c>
      <c r="K171" s="1">
        <v>0.3</v>
      </c>
      <c r="L171" s="1">
        <v>6084.4</v>
      </c>
      <c r="M171" s="1" t="s">
        <v>18</v>
      </c>
    </row>
    <row r="172" spans="1:13" x14ac:dyDescent="0.35">
      <c r="A172" s="1" t="s">
        <v>399</v>
      </c>
      <c r="B172" s="2">
        <v>44932</v>
      </c>
      <c r="C172" s="1" t="s">
        <v>400</v>
      </c>
      <c r="D172" s="1" t="s">
        <v>1493</v>
      </c>
      <c r="E172" s="1" t="s">
        <v>60</v>
      </c>
      <c r="F172" s="1" t="s">
        <v>45</v>
      </c>
      <c r="G172" s="1">
        <v>5</v>
      </c>
      <c r="H172" s="1">
        <v>2679</v>
      </c>
      <c r="I172" s="1">
        <v>13395</v>
      </c>
      <c r="J172" s="1">
        <v>4018.5</v>
      </c>
      <c r="K172" s="1">
        <v>0.3</v>
      </c>
      <c r="L172" s="1">
        <v>9376.5</v>
      </c>
      <c r="M172" s="1" t="s">
        <v>18</v>
      </c>
    </row>
    <row r="173" spans="1:13" x14ac:dyDescent="0.35">
      <c r="A173" s="1" t="s">
        <v>401</v>
      </c>
      <c r="B173" s="2">
        <v>45612</v>
      </c>
      <c r="C173" s="1" t="s">
        <v>20</v>
      </c>
      <c r="D173" s="1" t="s">
        <v>1490</v>
      </c>
      <c r="E173" s="1" t="s">
        <v>16</v>
      </c>
      <c r="F173" s="1" t="s">
        <v>17</v>
      </c>
      <c r="G173" s="1">
        <v>4</v>
      </c>
      <c r="H173" s="1">
        <v>2286</v>
      </c>
      <c r="I173" s="1">
        <v>9144</v>
      </c>
      <c r="J173" s="1">
        <v>274.32</v>
      </c>
      <c r="K173" s="1">
        <v>0.03</v>
      </c>
      <c r="L173" s="1">
        <v>8869.68</v>
      </c>
      <c r="M173" s="1" t="s">
        <v>18</v>
      </c>
    </row>
    <row r="174" spans="1:13" x14ac:dyDescent="0.35">
      <c r="A174" s="1" t="s">
        <v>402</v>
      </c>
      <c r="B174" s="2">
        <v>45395</v>
      </c>
      <c r="C174" s="1" t="s">
        <v>130</v>
      </c>
      <c r="D174" s="1" t="s">
        <v>1490</v>
      </c>
      <c r="E174" s="1" t="s">
        <v>39</v>
      </c>
      <c r="F174" s="1" t="s">
        <v>22</v>
      </c>
      <c r="G174" s="1">
        <v>5</v>
      </c>
      <c r="H174" s="1">
        <v>4032</v>
      </c>
      <c r="I174" s="1">
        <v>20160</v>
      </c>
      <c r="J174" s="1">
        <v>3427.2000000000003</v>
      </c>
      <c r="K174" s="1">
        <v>0.17</v>
      </c>
      <c r="L174" s="1">
        <v>16732.8</v>
      </c>
      <c r="M174" s="1" t="s">
        <v>18</v>
      </c>
    </row>
    <row r="175" spans="1:13" x14ac:dyDescent="0.35">
      <c r="A175" s="1" t="s">
        <v>403</v>
      </c>
      <c r="B175" s="2">
        <v>45410</v>
      </c>
      <c r="C175" s="1" t="s">
        <v>43</v>
      </c>
      <c r="D175" s="1" t="s">
        <v>1490</v>
      </c>
      <c r="E175" s="1" t="s">
        <v>26</v>
      </c>
      <c r="F175" s="1" t="s">
        <v>17</v>
      </c>
      <c r="G175" s="1">
        <v>10</v>
      </c>
      <c r="H175" s="1">
        <v>2542</v>
      </c>
      <c r="I175" s="1">
        <v>25420</v>
      </c>
      <c r="J175" s="1">
        <v>508.40000000000003</v>
      </c>
      <c r="K175" s="1">
        <v>0.02</v>
      </c>
      <c r="L175" s="1">
        <v>24911.599999999999</v>
      </c>
      <c r="M175" s="1" t="s">
        <v>18</v>
      </c>
    </row>
    <row r="176" spans="1:13" x14ac:dyDescent="0.35">
      <c r="A176" s="1" t="s">
        <v>404</v>
      </c>
      <c r="B176" s="2">
        <v>45068</v>
      </c>
      <c r="C176" s="1" t="s">
        <v>218</v>
      </c>
      <c r="D176" s="1" t="s">
        <v>1491</v>
      </c>
      <c r="E176" s="1" t="s">
        <v>60</v>
      </c>
      <c r="F176" s="1" t="s">
        <v>45</v>
      </c>
      <c r="G176" s="1">
        <v>10</v>
      </c>
      <c r="H176" s="1">
        <v>429</v>
      </c>
      <c r="I176" s="1">
        <v>4290</v>
      </c>
      <c r="J176" s="1">
        <v>42.9</v>
      </c>
      <c r="K176" s="1">
        <v>0.01</v>
      </c>
      <c r="L176" s="1">
        <v>4247.1000000000004</v>
      </c>
      <c r="M176" s="1" t="s">
        <v>18</v>
      </c>
    </row>
    <row r="177" spans="1:13" x14ac:dyDescent="0.35">
      <c r="A177" s="1" t="s">
        <v>405</v>
      </c>
      <c r="B177" s="2">
        <v>45204</v>
      </c>
      <c r="C177" s="1" t="s">
        <v>244</v>
      </c>
      <c r="D177" s="1" t="s">
        <v>1490</v>
      </c>
      <c r="E177" s="1" t="s">
        <v>60</v>
      </c>
      <c r="F177" s="1" t="s">
        <v>45</v>
      </c>
      <c r="G177" s="1">
        <v>9</v>
      </c>
      <c r="H177" s="1">
        <v>4758</v>
      </c>
      <c r="I177" s="1">
        <v>42822</v>
      </c>
      <c r="J177" s="1">
        <v>1284.6599999999999</v>
      </c>
      <c r="K177" s="1">
        <v>0.03</v>
      </c>
      <c r="L177" s="1">
        <v>41537.339999999997</v>
      </c>
      <c r="M177" s="1" t="s">
        <v>18</v>
      </c>
    </row>
    <row r="178" spans="1:13" x14ac:dyDescent="0.35">
      <c r="A178" s="1" t="s">
        <v>406</v>
      </c>
      <c r="B178" s="2">
        <v>45416</v>
      </c>
      <c r="C178" s="1" t="s">
        <v>231</v>
      </c>
      <c r="D178" s="1" t="s">
        <v>1491</v>
      </c>
      <c r="E178" s="1" t="s">
        <v>39</v>
      </c>
      <c r="F178" s="1" t="s">
        <v>22</v>
      </c>
      <c r="G178" s="1">
        <v>8</v>
      </c>
      <c r="H178" s="1">
        <v>4693</v>
      </c>
      <c r="I178" s="1">
        <v>37544</v>
      </c>
      <c r="J178" s="1">
        <v>7133.36</v>
      </c>
      <c r="K178" s="1">
        <v>0.19</v>
      </c>
      <c r="L178" s="1">
        <v>30410.639999999999</v>
      </c>
      <c r="M178" s="1" t="s">
        <v>18</v>
      </c>
    </row>
    <row r="179" spans="1:13" x14ac:dyDescent="0.35">
      <c r="A179" s="1" t="s">
        <v>407</v>
      </c>
      <c r="B179" s="2">
        <v>45569</v>
      </c>
      <c r="C179" s="1" t="s">
        <v>363</v>
      </c>
      <c r="D179" s="1" t="s">
        <v>1492</v>
      </c>
      <c r="E179" s="1" t="s">
        <v>60</v>
      </c>
      <c r="F179" s="1" t="s">
        <v>45</v>
      </c>
      <c r="G179" s="1">
        <v>5</v>
      </c>
      <c r="H179" s="1">
        <v>3493</v>
      </c>
      <c r="I179" s="1">
        <v>17465</v>
      </c>
      <c r="J179" s="1">
        <v>4366.25</v>
      </c>
      <c r="K179" s="1">
        <v>0.25</v>
      </c>
      <c r="L179" s="1">
        <v>13098.75</v>
      </c>
      <c r="M179" s="1" t="s">
        <v>18</v>
      </c>
    </row>
    <row r="180" spans="1:13" x14ac:dyDescent="0.35">
      <c r="A180" s="1" t="s">
        <v>408</v>
      </c>
      <c r="B180" s="2">
        <v>45373</v>
      </c>
      <c r="C180" s="1" t="s">
        <v>409</v>
      </c>
      <c r="D180" s="1" t="s">
        <v>1491</v>
      </c>
      <c r="E180" s="1" t="s">
        <v>44</v>
      </c>
      <c r="F180" s="1" t="s">
        <v>45</v>
      </c>
      <c r="G180" s="1">
        <v>1</v>
      </c>
      <c r="H180" s="1">
        <v>593</v>
      </c>
      <c r="I180" s="1">
        <v>593</v>
      </c>
      <c r="J180" s="1">
        <v>77.09</v>
      </c>
      <c r="K180" s="1">
        <v>0.13</v>
      </c>
      <c r="L180" s="1">
        <v>515.91</v>
      </c>
      <c r="M180" s="1" t="s">
        <v>18</v>
      </c>
    </row>
    <row r="181" spans="1:13" x14ac:dyDescent="0.35">
      <c r="A181" s="1" t="s">
        <v>410</v>
      </c>
      <c r="B181" s="2">
        <v>45172</v>
      </c>
      <c r="C181" s="1" t="s">
        <v>326</v>
      </c>
      <c r="D181" s="1" t="s">
        <v>1492</v>
      </c>
      <c r="E181" s="1" t="s">
        <v>39</v>
      </c>
      <c r="F181" s="1" t="s">
        <v>22</v>
      </c>
      <c r="G181" s="1">
        <v>6</v>
      </c>
      <c r="H181" s="1">
        <v>1873</v>
      </c>
      <c r="I181" s="1">
        <v>11238</v>
      </c>
      <c r="J181" s="1">
        <v>0</v>
      </c>
      <c r="K181" s="1">
        <v>0</v>
      </c>
      <c r="L181" s="1">
        <v>11238</v>
      </c>
      <c r="M181" s="1" t="s">
        <v>18</v>
      </c>
    </row>
    <row r="182" spans="1:13" x14ac:dyDescent="0.35">
      <c r="A182" s="1" t="s">
        <v>411</v>
      </c>
      <c r="B182" s="2">
        <v>45380</v>
      </c>
      <c r="C182" s="1" t="s">
        <v>56</v>
      </c>
      <c r="D182" s="1" t="s">
        <v>1490</v>
      </c>
      <c r="E182" s="1" t="s">
        <v>60</v>
      </c>
      <c r="F182" s="1" t="s">
        <v>45</v>
      </c>
      <c r="G182" s="1">
        <v>5</v>
      </c>
      <c r="H182" s="1">
        <v>4389</v>
      </c>
      <c r="I182" s="1">
        <v>21945</v>
      </c>
      <c r="J182" s="1">
        <v>658.35</v>
      </c>
      <c r="K182" s="1">
        <v>0.03</v>
      </c>
      <c r="L182" s="1">
        <v>21286.65</v>
      </c>
      <c r="M182" s="1" t="s">
        <v>18</v>
      </c>
    </row>
    <row r="183" spans="1:13" x14ac:dyDescent="0.35">
      <c r="A183" s="1" t="s">
        <v>412</v>
      </c>
      <c r="B183" s="2">
        <v>45436</v>
      </c>
      <c r="C183" s="1" t="s">
        <v>413</v>
      </c>
      <c r="D183" s="1" t="s">
        <v>1490</v>
      </c>
      <c r="E183" s="1" t="s">
        <v>48</v>
      </c>
      <c r="F183" s="1" t="s">
        <v>17</v>
      </c>
      <c r="G183" s="1">
        <v>7</v>
      </c>
      <c r="H183" s="1">
        <v>432</v>
      </c>
      <c r="I183" s="1">
        <v>3024</v>
      </c>
      <c r="J183" s="1">
        <v>30.240000000000002</v>
      </c>
      <c r="K183" s="1">
        <v>0.01</v>
      </c>
      <c r="L183" s="1">
        <v>2993.76</v>
      </c>
      <c r="M183" s="1" t="s">
        <v>18</v>
      </c>
    </row>
    <row r="184" spans="1:13" x14ac:dyDescent="0.35">
      <c r="A184" s="1" t="s">
        <v>414</v>
      </c>
      <c r="B184" s="2">
        <v>45459</v>
      </c>
      <c r="C184" s="1" t="s">
        <v>20</v>
      </c>
      <c r="D184" s="1" t="s">
        <v>1490</v>
      </c>
      <c r="E184" s="1" t="s">
        <v>44</v>
      </c>
      <c r="F184" s="1" t="s">
        <v>45</v>
      </c>
      <c r="G184" s="1">
        <v>5</v>
      </c>
      <c r="H184" s="1">
        <v>3267</v>
      </c>
      <c r="I184" s="1">
        <v>16335</v>
      </c>
      <c r="J184" s="1">
        <v>3267</v>
      </c>
      <c r="K184" s="1">
        <v>0.2</v>
      </c>
      <c r="L184" s="1">
        <v>13068</v>
      </c>
      <c r="M184" s="1" t="s">
        <v>18</v>
      </c>
    </row>
    <row r="185" spans="1:13" x14ac:dyDescent="0.35">
      <c r="A185" s="1" t="s">
        <v>415</v>
      </c>
      <c r="B185" s="2">
        <v>45384</v>
      </c>
      <c r="C185" s="1" t="s">
        <v>125</v>
      </c>
      <c r="D185" s="1" t="s">
        <v>1492</v>
      </c>
      <c r="E185" s="1" t="s">
        <v>16</v>
      </c>
      <c r="F185" s="1" t="s">
        <v>17</v>
      </c>
      <c r="G185" s="1">
        <v>8</v>
      </c>
      <c r="H185" s="1">
        <v>2741</v>
      </c>
      <c r="I185" s="1">
        <v>21928</v>
      </c>
      <c r="J185" s="1">
        <v>4166.32</v>
      </c>
      <c r="K185" s="1">
        <v>0.19</v>
      </c>
      <c r="L185" s="1">
        <v>17761.68</v>
      </c>
      <c r="M185" s="1" t="s">
        <v>18</v>
      </c>
    </row>
    <row r="186" spans="1:13" x14ac:dyDescent="0.35">
      <c r="A186" s="1" t="s">
        <v>416</v>
      </c>
      <c r="B186" s="2">
        <v>45050</v>
      </c>
      <c r="C186" s="1" t="s">
        <v>294</v>
      </c>
      <c r="D186" s="1" t="s">
        <v>1490</v>
      </c>
      <c r="E186" s="1" t="s">
        <v>16</v>
      </c>
      <c r="F186" s="1" t="s">
        <v>17</v>
      </c>
      <c r="G186" s="1">
        <v>8</v>
      </c>
      <c r="H186" s="1">
        <v>497</v>
      </c>
      <c r="I186" s="1">
        <v>3976</v>
      </c>
      <c r="J186" s="1">
        <v>954.24</v>
      </c>
      <c r="K186" s="1">
        <v>0.24</v>
      </c>
      <c r="L186" s="1">
        <v>3021.76</v>
      </c>
      <c r="M186" s="1" t="s">
        <v>18</v>
      </c>
    </row>
    <row r="187" spans="1:13" x14ac:dyDescent="0.35">
      <c r="A187" s="1" t="s">
        <v>417</v>
      </c>
      <c r="B187" s="2">
        <v>45618</v>
      </c>
      <c r="C187" s="1" t="s">
        <v>370</v>
      </c>
      <c r="D187" s="1" t="s">
        <v>1490</v>
      </c>
      <c r="E187" s="1" t="s">
        <v>57</v>
      </c>
      <c r="F187" s="1" t="s">
        <v>45</v>
      </c>
      <c r="G187" s="1">
        <v>9</v>
      </c>
      <c r="H187" s="1">
        <v>1330</v>
      </c>
      <c r="I187" s="1">
        <v>11970</v>
      </c>
      <c r="J187" s="1">
        <v>1316.7</v>
      </c>
      <c r="K187" s="1">
        <v>0.11</v>
      </c>
      <c r="L187" s="1">
        <v>10653.3</v>
      </c>
      <c r="M187" s="1" t="s">
        <v>18</v>
      </c>
    </row>
    <row r="188" spans="1:13" x14ac:dyDescent="0.35">
      <c r="A188" s="1" t="s">
        <v>418</v>
      </c>
      <c r="B188" s="2">
        <v>45231</v>
      </c>
      <c r="C188" s="1" t="s">
        <v>244</v>
      </c>
      <c r="D188" s="1" t="s">
        <v>1490</v>
      </c>
      <c r="E188" s="1" t="s">
        <v>39</v>
      </c>
      <c r="F188" s="1" t="s">
        <v>22</v>
      </c>
      <c r="G188" s="1">
        <v>2</v>
      </c>
      <c r="H188" s="1">
        <v>2855</v>
      </c>
      <c r="I188" s="1">
        <v>5710</v>
      </c>
      <c r="J188" s="1">
        <v>456.8</v>
      </c>
      <c r="K188" s="1">
        <v>0.08</v>
      </c>
      <c r="L188" s="1">
        <v>5253.2</v>
      </c>
      <c r="M188" s="1" t="s">
        <v>18</v>
      </c>
    </row>
    <row r="189" spans="1:13" x14ac:dyDescent="0.35">
      <c r="A189" s="1" t="s">
        <v>419</v>
      </c>
      <c r="B189" s="2">
        <v>45089</v>
      </c>
      <c r="C189" s="1" t="s">
        <v>34</v>
      </c>
      <c r="D189" s="1" t="s">
        <v>1491</v>
      </c>
      <c r="E189" s="1" t="s">
        <v>26</v>
      </c>
      <c r="F189" s="1" t="s">
        <v>17</v>
      </c>
      <c r="G189" s="1">
        <v>3</v>
      </c>
      <c r="H189" s="1">
        <v>2398</v>
      </c>
      <c r="I189" s="1">
        <v>7194</v>
      </c>
      <c r="J189" s="1">
        <v>1510.74</v>
      </c>
      <c r="K189" s="1">
        <v>0.21</v>
      </c>
      <c r="L189" s="1">
        <v>5683.26</v>
      </c>
      <c r="M189" s="1" t="s">
        <v>18</v>
      </c>
    </row>
    <row r="190" spans="1:13" x14ac:dyDescent="0.35">
      <c r="A190" s="1" t="s">
        <v>420</v>
      </c>
      <c r="B190" s="2">
        <v>45025</v>
      </c>
      <c r="C190" s="1" t="s">
        <v>103</v>
      </c>
      <c r="D190" s="1" t="s">
        <v>1490</v>
      </c>
      <c r="E190" s="1" t="s">
        <v>39</v>
      </c>
      <c r="F190" s="1" t="s">
        <v>22</v>
      </c>
      <c r="G190" s="1">
        <v>10</v>
      </c>
      <c r="H190" s="1">
        <v>2499</v>
      </c>
      <c r="I190" s="1">
        <v>24990</v>
      </c>
      <c r="J190" s="1">
        <v>5497.8</v>
      </c>
      <c r="K190" s="1">
        <v>0.22</v>
      </c>
      <c r="L190" s="1">
        <v>19492.2</v>
      </c>
      <c r="M190" s="1" t="s">
        <v>18</v>
      </c>
    </row>
    <row r="191" spans="1:13" x14ac:dyDescent="0.35">
      <c r="A191" s="1" t="s">
        <v>421</v>
      </c>
      <c r="B191" s="2">
        <v>45289</v>
      </c>
      <c r="C191" s="1" t="s">
        <v>422</v>
      </c>
      <c r="D191" s="1" t="s">
        <v>1490</v>
      </c>
      <c r="E191" s="1" t="s">
        <v>39</v>
      </c>
      <c r="F191" s="1" t="s">
        <v>22</v>
      </c>
      <c r="G191" s="1">
        <v>6</v>
      </c>
      <c r="H191" s="1">
        <v>1791</v>
      </c>
      <c r="I191" s="1">
        <v>10746</v>
      </c>
      <c r="J191" s="1">
        <v>429.84000000000003</v>
      </c>
      <c r="K191" s="1">
        <v>0.04</v>
      </c>
      <c r="L191" s="1">
        <v>10316.16</v>
      </c>
      <c r="M191" s="1" t="s">
        <v>18</v>
      </c>
    </row>
    <row r="192" spans="1:13" x14ac:dyDescent="0.35">
      <c r="A192" s="1" t="s">
        <v>423</v>
      </c>
      <c r="B192" s="2">
        <v>45657</v>
      </c>
      <c r="C192" s="1" t="s">
        <v>225</v>
      </c>
      <c r="D192" s="1" t="s">
        <v>1490</v>
      </c>
      <c r="E192" s="1" t="s">
        <v>60</v>
      </c>
      <c r="F192" s="1" t="s">
        <v>45</v>
      </c>
      <c r="G192" s="1">
        <v>9</v>
      </c>
      <c r="H192" s="1">
        <v>3617</v>
      </c>
      <c r="I192" s="1">
        <v>32553</v>
      </c>
      <c r="J192" s="1">
        <v>9440.369999999999</v>
      </c>
      <c r="K192" s="1">
        <v>0.28999999999999998</v>
      </c>
      <c r="L192" s="1">
        <v>23112.63</v>
      </c>
      <c r="M192" s="1" t="s">
        <v>18</v>
      </c>
    </row>
    <row r="193" spans="1:13" x14ac:dyDescent="0.35">
      <c r="A193" s="1" t="s">
        <v>424</v>
      </c>
      <c r="B193" s="2">
        <v>45108</v>
      </c>
      <c r="C193" s="1" t="s">
        <v>425</v>
      </c>
      <c r="D193" s="1" t="s">
        <v>1490</v>
      </c>
      <c r="E193" s="1" t="s">
        <v>48</v>
      </c>
      <c r="F193" s="1" t="s">
        <v>17</v>
      </c>
      <c r="G193" s="1">
        <v>5</v>
      </c>
      <c r="H193" s="1">
        <v>4053</v>
      </c>
      <c r="I193" s="1">
        <v>20265</v>
      </c>
      <c r="J193" s="1">
        <v>2634.4500000000003</v>
      </c>
      <c r="K193" s="1">
        <v>0.13</v>
      </c>
      <c r="L193" s="1">
        <v>17630.55</v>
      </c>
      <c r="M193" s="1" t="s">
        <v>18</v>
      </c>
    </row>
    <row r="194" spans="1:13" x14ac:dyDescent="0.35">
      <c r="A194" s="1" t="s">
        <v>426</v>
      </c>
      <c r="B194" s="2">
        <v>45203</v>
      </c>
      <c r="C194" s="1" t="s">
        <v>427</v>
      </c>
      <c r="D194" s="1" t="s">
        <v>1491</v>
      </c>
      <c r="E194" s="1" t="s">
        <v>60</v>
      </c>
      <c r="F194" s="1" t="s">
        <v>45</v>
      </c>
      <c r="G194" s="1">
        <v>6</v>
      </c>
      <c r="H194" s="1">
        <v>331</v>
      </c>
      <c r="I194" s="1">
        <v>1986</v>
      </c>
      <c r="J194" s="1">
        <v>556.08000000000004</v>
      </c>
      <c r="K194" s="1">
        <v>0.28000000000000003</v>
      </c>
      <c r="L194" s="1">
        <v>1429.92</v>
      </c>
      <c r="M194" s="1" t="s">
        <v>18</v>
      </c>
    </row>
    <row r="195" spans="1:13" x14ac:dyDescent="0.35">
      <c r="A195" s="1" t="s">
        <v>428</v>
      </c>
      <c r="B195" s="2">
        <v>45586</v>
      </c>
      <c r="C195" s="1" t="s">
        <v>429</v>
      </c>
      <c r="D195" s="1" t="s">
        <v>1491</v>
      </c>
      <c r="E195" s="1" t="s">
        <v>39</v>
      </c>
      <c r="F195" s="1" t="s">
        <v>22</v>
      </c>
      <c r="G195" s="1">
        <v>6</v>
      </c>
      <c r="H195" s="1">
        <v>1421</v>
      </c>
      <c r="I195" s="1">
        <v>8526</v>
      </c>
      <c r="J195" s="1">
        <v>170.52</v>
      </c>
      <c r="K195" s="1">
        <v>0.02</v>
      </c>
      <c r="L195" s="1">
        <v>8355.48</v>
      </c>
      <c r="M195" s="1" t="s">
        <v>18</v>
      </c>
    </row>
    <row r="196" spans="1:13" x14ac:dyDescent="0.35">
      <c r="A196" s="1" t="s">
        <v>430</v>
      </c>
      <c r="B196" s="2">
        <v>45023</v>
      </c>
      <c r="C196" s="1" t="s">
        <v>50</v>
      </c>
      <c r="D196" s="1" t="s">
        <v>1492</v>
      </c>
      <c r="E196" s="1" t="s">
        <v>39</v>
      </c>
      <c r="F196" s="1" t="s">
        <v>22</v>
      </c>
      <c r="G196" s="1">
        <v>3</v>
      </c>
      <c r="H196" s="1">
        <v>3760</v>
      </c>
      <c r="I196" s="1">
        <v>11280</v>
      </c>
      <c r="J196" s="1">
        <v>2030.3999999999999</v>
      </c>
      <c r="K196" s="1">
        <v>0.18</v>
      </c>
      <c r="L196" s="1">
        <v>9249.6</v>
      </c>
      <c r="M196" s="1" t="s">
        <v>18</v>
      </c>
    </row>
    <row r="197" spans="1:13" x14ac:dyDescent="0.35">
      <c r="A197" s="1" t="s">
        <v>431</v>
      </c>
      <c r="B197" s="2">
        <v>45109</v>
      </c>
      <c r="C197" s="1" t="s">
        <v>432</v>
      </c>
      <c r="D197" s="1" t="s">
        <v>1490</v>
      </c>
      <c r="E197" s="1" t="s">
        <v>189</v>
      </c>
      <c r="F197" s="1" t="s">
        <v>45</v>
      </c>
      <c r="G197" s="1">
        <v>4</v>
      </c>
      <c r="H197" s="1">
        <v>3841</v>
      </c>
      <c r="I197" s="1">
        <v>15364</v>
      </c>
      <c r="J197" s="1">
        <v>2150.96</v>
      </c>
      <c r="K197" s="1">
        <v>0.14000000000000001</v>
      </c>
      <c r="L197" s="1">
        <v>13213.04</v>
      </c>
      <c r="M197" s="1" t="s">
        <v>18</v>
      </c>
    </row>
    <row r="198" spans="1:13" x14ac:dyDescent="0.35">
      <c r="A198" s="1" t="s">
        <v>433</v>
      </c>
      <c r="B198" s="2">
        <v>45577</v>
      </c>
      <c r="C198" s="1" t="s">
        <v>183</v>
      </c>
      <c r="D198" s="1" t="s">
        <v>1490</v>
      </c>
      <c r="E198" s="1" t="s">
        <v>16</v>
      </c>
      <c r="F198" s="1" t="s">
        <v>17</v>
      </c>
      <c r="G198" s="1">
        <v>5</v>
      </c>
      <c r="H198" s="1">
        <v>2336</v>
      </c>
      <c r="I198" s="1">
        <v>11680</v>
      </c>
      <c r="J198" s="1">
        <v>2452.7999999999997</v>
      </c>
      <c r="K198" s="1">
        <v>0.21</v>
      </c>
      <c r="L198" s="1">
        <v>9227.2000000000007</v>
      </c>
      <c r="M198" s="1" t="s">
        <v>18</v>
      </c>
    </row>
    <row r="199" spans="1:13" x14ac:dyDescent="0.35">
      <c r="A199" s="1" t="s">
        <v>434</v>
      </c>
      <c r="B199" s="2">
        <v>45244</v>
      </c>
      <c r="C199" s="1" t="s">
        <v>14</v>
      </c>
      <c r="D199" s="1" t="s">
        <v>1490</v>
      </c>
      <c r="E199" s="1" t="s">
        <v>39</v>
      </c>
      <c r="F199" s="1" t="s">
        <v>22</v>
      </c>
      <c r="G199" s="1">
        <v>8</v>
      </c>
      <c r="H199" s="1">
        <v>2054</v>
      </c>
      <c r="I199" s="1">
        <v>16432</v>
      </c>
      <c r="J199" s="1">
        <v>985.92</v>
      </c>
      <c r="K199" s="1">
        <v>0.06</v>
      </c>
      <c r="L199" s="1">
        <v>15446.08</v>
      </c>
      <c r="M199" s="1" t="s">
        <v>18</v>
      </c>
    </row>
    <row r="200" spans="1:13" x14ac:dyDescent="0.35">
      <c r="A200" s="1" t="s">
        <v>435</v>
      </c>
      <c r="B200" s="2">
        <v>45049</v>
      </c>
      <c r="C200" s="1" t="s">
        <v>47</v>
      </c>
      <c r="D200" s="1" t="s">
        <v>1492</v>
      </c>
      <c r="E200" s="1" t="s">
        <v>57</v>
      </c>
      <c r="F200" s="1" t="s">
        <v>45</v>
      </c>
      <c r="G200" s="1">
        <v>2</v>
      </c>
      <c r="H200" s="1">
        <v>4662</v>
      </c>
      <c r="I200" s="1">
        <v>9324</v>
      </c>
      <c r="J200" s="1">
        <v>2610.7200000000003</v>
      </c>
      <c r="K200" s="1">
        <v>0.28000000000000003</v>
      </c>
      <c r="L200" s="1">
        <v>6713.28</v>
      </c>
      <c r="M200" s="1" t="s">
        <v>18</v>
      </c>
    </row>
    <row r="201" spans="1:13" x14ac:dyDescent="0.35">
      <c r="A201" s="1" t="s">
        <v>436</v>
      </c>
      <c r="B201" s="2">
        <v>45062</v>
      </c>
      <c r="C201" s="1" t="s">
        <v>161</v>
      </c>
      <c r="D201" s="1" t="s">
        <v>1490</v>
      </c>
      <c r="E201" s="1" t="s">
        <v>60</v>
      </c>
      <c r="F201" s="1" t="s">
        <v>45</v>
      </c>
      <c r="G201" s="1">
        <v>2</v>
      </c>
      <c r="H201" s="1">
        <v>2393</v>
      </c>
      <c r="I201" s="1">
        <v>4786</v>
      </c>
      <c r="J201" s="1">
        <v>670.04000000000008</v>
      </c>
      <c r="K201" s="1">
        <v>0.14000000000000001</v>
      </c>
      <c r="L201" s="1">
        <v>4115.96</v>
      </c>
      <c r="M201" s="1" t="s">
        <v>18</v>
      </c>
    </row>
    <row r="202" spans="1:13" x14ac:dyDescent="0.35">
      <c r="A202" s="1" t="s">
        <v>437</v>
      </c>
      <c r="B202" s="2">
        <v>45425</v>
      </c>
      <c r="C202" s="1" t="s">
        <v>214</v>
      </c>
      <c r="D202" s="1" t="s">
        <v>1491</v>
      </c>
      <c r="E202" s="1" t="s">
        <v>29</v>
      </c>
      <c r="F202" s="1" t="s">
        <v>22</v>
      </c>
      <c r="G202" s="1">
        <v>9</v>
      </c>
      <c r="H202" s="1">
        <v>2098</v>
      </c>
      <c r="I202" s="1">
        <v>18882</v>
      </c>
      <c r="J202" s="1">
        <v>0</v>
      </c>
      <c r="K202" s="1">
        <v>0</v>
      </c>
      <c r="L202" s="1">
        <v>18882</v>
      </c>
      <c r="M202" s="1" t="s">
        <v>18</v>
      </c>
    </row>
    <row r="203" spans="1:13" x14ac:dyDescent="0.35">
      <c r="A203" s="1" t="s">
        <v>438</v>
      </c>
      <c r="B203" s="2">
        <v>45545</v>
      </c>
      <c r="C203" s="1" t="s">
        <v>130</v>
      </c>
      <c r="D203" s="1" t="s">
        <v>1490</v>
      </c>
      <c r="E203" s="1" t="s">
        <v>44</v>
      </c>
      <c r="F203" s="1" t="s">
        <v>45</v>
      </c>
      <c r="G203" s="1">
        <v>8</v>
      </c>
      <c r="H203" s="1">
        <v>2028</v>
      </c>
      <c r="I203" s="1">
        <v>16224</v>
      </c>
      <c r="J203" s="1">
        <v>3569.28</v>
      </c>
      <c r="K203" s="1">
        <v>0.22</v>
      </c>
      <c r="L203" s="1">
        <v>12654.72</v>
      </c>
      <c r="M203" s="1" t="s">
        <v>18</v>
      </c>
    </row>
    <row r="204" spans="1:13" x14ac:dyDescent="0.35">
      <c r="A204" s="1" t="s">
        <v>439</v>
      </c>
      <c r="B204" s="2">
        <v>45301</v>
      </c>
      <c r="C204" s="1" t="s">
        <v>440</v>
      </c>
      <c r="D204" s="1" t="s">
        <v>1492</v>
      </c>
      <c r="E204" s="1" t="s">
        <v>189</v>
      </c>
      <c r="F204" s="1" t="s">
        <v>45</v>
      </c>
      <c r="G204" s="1">
        <v>10</v>
      </c>
      <c r="H204" s="1">
        <v>4499</v>
      </c>
      <c r="I204" s="1">
        <v>44990</v>
      </c>
      <c r="J204" s="1">
        <v>8998</v>
      </c>
      <c r="K204" s="1">
        <v>0.2</v>
      </c>
      <c r="L204" s="1">
        <v>35992</v>
      </c>
      <c r="M204" s="1" t="s">
        <v>18</v>
      </c>
    </row>
    <row r="205" spans="1:13" x14ac:dyDescent="0.35">
      <c r="A205" s="1" t="s">
        <v>441</v>
      </c>
      <c r="B205" s="2">
        <v>45124</v>
      </c>
      <c r="C205" s="1" t="s">
        <v>382</v>
      </c>
      <c r="D205" s="1" t="s">
        <v>1490</v>
      </c>
      <c r="E205" s="1" t="s">
        <v>26</v>
      </c>
      <c r="F205" s="1" t="s">
        <v>17</v>
      </c>
      <c r="G205" s="1">
        <v>1</v>
      </c>
      <c r="H205" s="1">
        <v>1236</v>
      </c>
      <c r="I205" s="1">
        <v>1236</v>
      </c>
      <c r="J205" s="1">
        <v>160.68</v>
      </c>
      <c r="K205" s="1">
        <v>0.13</v>
      </c>
      <c r="L205" s="1">
        <v>1075.32</v>
      </c>
      <c r="M205" s="1" t="s">
        <v>18</v>
      </c>
    </row>
    <row r="206" spans="1:13" x14ac:dyDescent="0.35">
      <c r="A206" s="1" t="s">
        <v>442</v>
      </c>
      <c r="B206" s="2">
        <v>45014</v>
      </c>
      <c r="C206" s="1" t="s">
        <v>443</v>
      </c>
      <c r="D206" s="1" t="s">
        <v>1493</v>
      </c>
      <c r="E206" s="1" t="s">
        <v>39</v>
      </c>
      <c r="F206" s="1" t="s">
        <v>22</v>
      </c>
      <c r="G206" s="1">
        <v>5</v>
      </c>
      <c r="H206" s="1">
        <v>1769</v>
      </c>
      <c r="I206" s="1">
        <v>8845</v>
      </c>
      <c r="J206" s="1">
        <v>707.6</v>
      </c>
      <c r="K206" s="1">
        <v>0.08</v>
      </c>
      <c r="L206" s="1">
        <v>8137.4</v>
      </c>
      <c r="M206" s="1" t="s">
        <v>18</v>
      </c>
    </row>
    <row r="207" spans="1:13" x14ac:dyDescent="0.35">
      <c r="A207" s="1" t="s">
        <v>444</v>
      </c>
      <c r="B207" s="2">
        <v>45361</v>
      </c>
      <c r="C207" s="1" t="s">
        <v>445</v>
      </c>
      <c r="D207" s="1" t="s">
        <v>1493</v>
      </c>
      <c r="E207" s="1" t="s">
        <v>57</v>
      </c>
      <c r="F207" s="1" t="s">
        <v>45</v>
      </c>
      <c r="G207" s="1">
        <v>6</v>
      </c>
      <c r="H207" s="1">
        <v>244</v>
      </c>
      <c r="I207" s="1">
        <v>1464</v>
      </c>
      <c r="J207" s="1">
        <v>278.16000000000003</v>
      </c>
      <c r="K207" s="1">
        <v>0.19</v>
      </c>
      <c r="L207" s="1">
        <v>1185.8399999999999</v>
      </c>
      <c r="M207" s="1" t="s">
        <v>18</v>
      </c>
    </row>
    <row r="208" spans="1:13" x14ac:dyDescent="0.35">
      <c r="A208" s="1" t="s">
        <v>446</v>
      </c>
      <c r="B208" s="2">
        <v>45650</v>
      </c>
      <c r="C208" s="1" t="s">
        <v>208</v>
      </c>
      <c r="D208" s="1" t="s">
        <v>1490</v>
      </c>
      <c r="E208" s="1" t="s">
        <v>48</v>
      </c>
      <c r="F208" s="1" t="s">
        <v>17</v>
      </c>
      <c r="G208" s="1">
        <v>9</v>
      </c>
      <c r="H208" s="1">
        <v>2914</v>
      </c>
      <c r="I208" s="1">
        <v>26226</v>
      </c>
      <c r="J208" s="1">
        <v>6031.9800000000005</v>
      </c>
      <c r="K208" s="1">
        <v>0.23</v>
      </c>
      <c r="L208" s="1">
        <v>20194.02</v>
      </c>
      <c r="M208" s="1" t="s">
        <v>18</v>
      </c>
    </row>
    <row r="209" spans="1:13" x14ac:dyDescent="0.35">
      <c r="A209" s="1" t="s">
        <v>447</v>
      </c>
      <c r="B209" s="2">
        <v>44946</v>
      </c>
      <c r="C209" s="1" t="s">
        <v>330</v>
      </c>
      <c r="D209" s="1" t="s">
        <v>1490</v>
      </c>
      <c r="E209" s="1" t="s">
        <v>16</v>
      </c>
      <c r="F209" s="1" t="s">
        <v>17</v>
      </c>
      <c r="G209" s="1">
        <v>1</v>
      </c>
      <c r="H209" s="1">
        <v>4910</v>
      </c>
      <c r="I209" s="1">
        <v>4910</v>
      </c>
      <c r="J209" s="1">
        <v>196.4</v>
      </c>
      <c r="K209" s="1">
        <v>0.04</v>
      </c>
      <c r="L209" s="1">
        <v>4713.6000000000004</v>
      </c>
      <c r="M209" s="1" t="s">
        <v>18</v>
      </c>
    </row>
    <row r="210" spans="1:13" x14ac:dyDescent="0.35">
      <c r="A210" s="1" t="s">
        <v>448</v>
      </c>
      <c r="B210" s="2">
        <v>45152</v>
      </c>
      <c r="C210" s="1" t="s">
        <v>409</v>
      </c>
      <c r="D210" s="1" t="s">
        <v>1491</v>
      </c>
      <c r="E210" s="1" t="s">
        <v>60</v>
      </c>
      <c r="F210" s="1" t="s">
        <v>45</v>
      </c>
      <c r="G210" s="1">
        <v>8</v>
      </c>
      <c r="H210" s="1">
        <v>2083</v>
      </c>
      <c r="I210" s="1">
        <v>16664</v>
      </c>
      <c r="J210" s="1">
        <v>166.64000000000001</v>
      </c>
      <c r="K210" s="1">
        <v>0.01</v>
      </c>
      <c r="L210" s="1">
        <v>16497.36</v>
      </c>
      <c r="M210" s="1" t="s">
        <v>18</v>
      </c>
    </row>
    <row r="211" spans="1:13" x14ac:dyDescent="0.35">
      <c r="A211" s="1" t="s">
        <v>449</v>
      </c>
      <c r="B211" s="2">
        <v>45301</v>
      </c>
      <c r="C211" s="1" t="s">
        <v>363</v>
      </c>
      <c r="D211" s="1" t="s">
        <v>1492</v>
      </c>
      <c r="E211" s="1" t="s">
        <v>57</v>
      </c>
      <c r="F211" s="1" t="s">
        <v>45</v>
      </c>
      <c r="G211" s="1">
        <v>10</v>
      </c>
      <c r="H211" s="1">
        <v>822</v>
      </c>
      <c r="I211" s="1">
        <v>8220</v>
      </c>
      <c r="J211" s="1">
        <v>2055</v>
      </c>
      <c r="K211" s="1">
        <v>0.25</v>
      </c>
      <c r="L211" s="1">
        <v>6165</v>
      </c>
      <c r="M211" s="1" t="s">
        <v>18</v>
      </c>
    </row>
    <row r="212" spans="1:13" x14ac:dyDescent="0.35">
      <c r="A212" s="1" t="s">
        <v>450</v>
      </c>
      <c r="B212" s="2">
        <v>45632</v>
      </c>
      <c r="C212" s="1" t="s">
        <v>105</v>
      </c>
      <c r="D212" s="1" t="s">
        <v>1493</v>
      </c>
      <c r="E212" s="1" t="s">
        <v>44</v>
      </c>
      <c r="F212" s="1" t="s">
        <v>45</v>
      </c>
      <c r="G212" s="1">
        <v>7</v>
      </c>
      <c r="H212" s="1">
        <v>2759</v>
      </c>
      <c r="I212" s="1">
        <v>19313</v>
      </c>
      <c r="J212" s="1">
        <v>5600.7699999999995</v>
      </c>
      <c r="K212" s="1">
        <v>0.28999999999999998</v>
      </c>
      <c r="L212" s="1">
        <v>13712.23</v>
      </c>
      <c r="M212" s="1" t="s">
        <v>18</v>
      </c>
    </row>
    <row r="213" spans="1:13" x14ac:dyDescent="0.35">
      <c r="A213" s="1" t="s">
        <v>451</v>
      </c>
      <c r="B213" s="2">
        <v>45526</v>
      </c>
      <c r="C213" s="1" t="s">
        <v>134</v>
      </c>
      <c r="D213" s="1" t="s">
        <v>1492</v>
      </c>
      <c r="E213" s="1" t="s">
        <v>57</v>
      </c>
      <c r="F213" s="1" t="s">
        <v>45</v>
      </c>
      <c r="G213" s="1">
        <v>3</v>
      </c>
      <c r="H213" s="1">
        <v>4049</v>
      </c>
      <c r="I213" s="1">
        <v>12147</v>
      </c>
      <c r="J213" s="1">
        <v>1214.7</v>
      </c>
      <c r="K213" s="1">
        <v>0.1</v>
      </c>
      <c r="L213" s="1">
        <v>10932.3</v>
      </c>
      <c r="M213" s="1" t="s">
        <v>18</v>
      </c>
    </row>
    <row r="214" spans="1:13" x14ac:dyDescent="0.35">
      <c r="A214" s="1" t="s">
        <v>452</v>
      </c>
      <c r="B214" s="2">
        <v>45405</v>
      </c>
      <c r="C214" s="1" t="s">
        <v>453</v>
      </c>
      <c r="D214" s="1" t="s">
        <v>1490</v>
      </c>
      <c r="E214" s="1" t="s">
        <v>26</v>
      </c>
      <c r="F214" s="1" t="s">
        <v>17</v>
      </c>
      <c r="G214" s="1">
        <v>5</v>
      </c>
      <c r="H214" s="1">
        <v>3693</v>
      </c>
      <c r="I214" s="1">
        <v>18465</v>
      </c>
      <c r="J214" s="1">
        <v>3139.05</v>
      </c>
      <c r="K214" s="1">
        <v>0.17</v>
      </c>
      <c r="L214" s="1">
        <v>15325.95</v>
      </c>
      <c r="M214" s="1" t="s">
        <v>18</v>
      </c>
    </row>
    <row r="215" spans="1:13" x14ac:dyDescent="0.35">
      <c r="A215" s="1" t="s">
        <v>454</v>
      </c>
      <c r="B215" s="2">
        <v>45240</v>
      </c>
      <c r="C215" s="1" t="s">
        <v>193</v>
      </c>
      <c r="D215" s="1" t="s">
        <v>1490</v>
      </c>
      <c r="E215" s="1" t="s">
        <v>29</v>
      </c>
      <c r="F215" s="1" t="s">
        <v>22</v>
      </c>
      <c r="G215" s="1">
        <v>8</v>
      </c>
      <c r="H215" s="1">
        <v>1541</v>
      </c>
      <c r="I215" s="1">
        <v>12328</v>
      </c>
      <c r="J215" s="1">
        <v>1972.48</v>
      </c>
      <c r="K215" s="1">
        <v>0.16</v>
      </c>
      <c r="L215" s="1">
        <v>10355.52</v>
      </c>
      <c r="M215" s="1" t="s">
        <v>18</v>
      </c>
    </row>
    <row r="216" spans="1:13" x14ac:dyDescent="0.35">
      <c r="A216" s="1" t="s">
        <v>455</v>
      </c>
      <c r="B216" s="2">
        <v>45217</v>
      </c>
      <c r="C216" s="1" t="s">
        <v>165</v>
      </c>
      <c r="D216" s="1" t="s">
        <v>1490</v>
      </c>
      <c r="E216" s="1" t="s">
        <v>60</v>
      </c>
      <c r="F216" s="1" t="s">
        <v>45</v>
      </c>
      <c r="G216" s="1">
        <v>10</v>
      </c>
      <c r="H216" s="1">
        <v>3073</v>
      </c>
      <c r="I216" s="1">
        <v>30730</v>
      </c>
      <c r="J216" s="1">
        <v>307.3</v>
      </c>
      <c r="K216" s="1">
        <v>0.01</v>
      </c>
      <c r="L216" s="1">
        <v>30422.7</v>
      </c>
      <c r="M216" s="1" t="s">
        <v>18</v>
      </c>
    </row>
    <row r="217" spans="1:13" x14ac:dyDescent="0.35">
      <c r="A217" s="1" t="s">
        <v>456</v>
      </c>
      <c r="B217" s="2">
        <v>45156</v>
      </c>
      <c r="C217" s="1" t="s">
        <v>339</v>
      </c>
      <c r="D217" s="1" t="s">
        <v>1490</v>
      </c>
      <c r="E217" s="1" t="s">
        <v>60</v>
      </c>
      <c r="F217" s="1" t="s">
        <v>45</v>
      </c>
      <c r="G217" s="1">
        <v>3</v>
      </c>
      <c r="H217" s="1">
        <v>2616</v>
      </c>
      <c r="I217" s="1">
        <v>7848</v>
      </c>
      <c r="J217" s="1">
        <v>549.36</v>
      </c>
      <c r="K217" s="1">
        <v>7.0000000000000007E-2</v>
      </c>
      <c r="L217" s="1">
        <v>7298.64</v>
      </c>
      <c r="M217" s="1" t="s">
        <v>18</v>
      </c>
    </row>
    <row r="218" spans="1:13" x14ac:dyDescent="0.35">
      <c r="A218" s="1" t="s">
        <v>457</v>
      </c>
      <c r="B218" s="2">
        <v>45560</v>
      </c>
      <c r="C218" s="1" t="s">
        <v>458</v>
      </c>
      <c r="D218" s="1" t="s">
        <v>1492</v>
      </c>
      <c r="E218" s="1" t="s">
        <v>39</v>
      </c>
      <c r="F218" s="1" t="s">
        <v>22</v>
      </c>
      <c r="G218" s="1">
        <v>10</v>
      </c>
      <c r="H218" s="1">
        <v>4622</v>
      </c>
      <c r="I218" s="1">
        <v>46220</v>
      </c>
      <c r="J218" s="1">
        <v>8319.6</v>
      </c>
      <c r="K218" s="1">
        <v>0.18</v>
      </c>
      <c r="L218" s="1">
        <v>37900.400000000001</v>
      </c>
      <c r="M218" s="1" t="s">
        <v>18</v>
      </c>
    </row>
    <row r="219" spans="1:13" x14ac:dyDescent="0.35">
      <c r="A219" s="1" t="s">
        <v>459</v>
      </c>
      <c r="B219" s="2">
        <v>44977</v>
      </c>
      <c r="C219" s="1" t="s">
        <v>460</v>
      </c>
      <c r="D219" s="1" t="s">
        <v>1490</v>
      </c>
      <c r="E219" s="1" t="s">
        <v>60</v>
      </c>
      <c r="F219" s="1" t="s">
        <v>45</v>
      </c>
      <c r="G219" s="1">
        <v>2</v>
      </c>
      <c r="H219" s="1">
        <v>2241</v>
      </c>
      <c r="I219" s="1">
        <v>4482</v>
      </c>
      <c r="J219" s="1">
        <v>1120.5</v>
      </c>
      <c r="K219" s="1">
        <v>0.25</v>
      </c>
      <c r="L219" s="1">
        <v>3361.5</v>
      </c>
      <c r="M219" s="1" t="s">
        <v>18</v>
      </c>
    </row>
    <row r="220" spans="1:13" x14ac:dyDescent="0.35">
      <c r="A220" s="1" t="s">
        <v>461</v>
      </c>
      <c r="B220" s="2">
        <v>45636</v>
      </c>
      <c r="C220" s="1" t="s">
        <v>152</v>
      </c>
      <c r="D220" s="1" t="s">
        <v>1493</v>
      </c>
      <c r="E220" s="1" t="s">
        <v>44</v>
      </c>
      <c r="F220" s="1" t="s">
        <v>45</v>
      </c>
      <c r="G220" s="1">
        <v>7</v>
      </c>
      <c r="H220" s="1">
        <v>2582</v>
      </c>
      <c r="I220" s="1">
        <v>18074</v>
      </c>
      <c r="J220" s="1">
        <v>2711.1</v>
      </c>
      <c r="K220" s="1">
        <v>0.15</v>
      </c>
      <c r="L220" s="1">
        <v>15362.9</v>
      </c>
      <c r="M220" s="1" t="s">
        <v>18</v>
      </c>
    </row>
    <row r="221" spans="1:13" x14ac:dyDescent="0.35">
      <c r="A221" s="1" t="s">
        <v>462</v>
      </c>
      <c r="B221" s="2">
        <v>45600</v>
      </c>
      <c r="C221" s="1" t="s">
        <v>463</v>
      </c>
      <c r="D221" s="1" t="s">
        <v>1490</v>
      </c>
      <c r="E221" s="1" t="s">
        <v>32</v>
      </c>
      <c r="F221" s="1" t="s">
        <v>17</v>
      </c>
      <c r="G221" s="1">
        <v>10</v>
      </c>
      <c r="H221" s="1">
        <v>2626</v>
      </c>
      <c r="I221" s="1">
        <v>26260</v>
      </c>
      <c r="J221" s="1">
        <v>3151.2</v>
      </c>
      <c r="K221" s="1">
        <v>0.12</v>
      </c>
      <c r="L221" s="1">
        <v>23108.799999999999</v>
      </c>
      <c r="M221" s="1" t="s">
        <v>18</v>
      </c>
    </row>
    <row r="222" spans="1:13" x14ac:dyDescent="0.35">
      <c r="A222" s="1" t="s">
        <v>464</v>
      </c>
      <c r="B222" s="2">
        <v>45523</v>
      </c>
      <c r="C222" s="1" t="s">
        <v>191</v>
      </c>
      <c r="D222" s="1" t="s">
        <v>1492</v>
      </c>
      <c r="E222" s="1" t="s">
        <v>26</v>
      </c>
      <c r="F222" s="1" t="s">
        <v>17</v>
      </c>
      <c r="G222" s="1">
        <v>6</v>
      </c>
      <c r="H222" s="1">
        <v>2974</v>
      </c>
      <c r="I222" s="1">
        <v>17844</v>
      </c>
      <c r="J222" s="1">
        <v>5174.7599999999993</v>
      </c>
      <c r="K222" s="1">
        <v>0.28999999999999998</v>
      </c>
      <c r="L222" s="1">
        <v>12669.24</v>
      </c>
      <c r="M222" s="1" t="s">
        <v>18</v>
      </c>
    </row>
    <row r="223" spans="1:13" x14ac:dyDescent="0.35">
      <c r="A223" s="1" t="s">
        <v>465</v>
      </c>
      <c r="B223" s="2">
        <v>45432</v>
      </c>
      <c r="C223" s="1" t="s">
        <v>24</v>
      </c>
      <c r="D223" s="1" t="s">
        <v>1491</v>
      </c>
      <c r="E223" s="1" t="s">
        <v>44</v>
      </c>
      <c r="F223" s="1" t="s">
        <v>45</v>
      </c>
      <c r="G223" s="1">
        <v>2</v>
      </c>
      <c r="H223" s="1">
        <v>1433</v>
      </c>
      <c r="I223" s="1">
        <v>2866</v>
      </c>
      <c r="J223" s="1">
        <v>343.91999999999996</v>
      </c>
      <c r="K223" s="1">
        <v>0.12</v>
      </c>
      <c r="L223" s="1">
        <v>2522.08</v>
      </c>
      <c r="M223" s="1" t="s">
        <v>18</v>
      </c>
    </row>
    <row r="224" spans="1:13" x14ac:dyDescent="0.35">
      <c r="A224" s="1" t="s">
        <v>466</v>
      </c>
      <c r="B224" s="2">
        <v>45645</v>
      </c>
      <c r="C224" s="1" t="s">
        <v>467</v>
      </c>
      <c r="D224" s="1" t="s">
        <v>1492</v>
      </c>
      <c r="E224" s="1" t="s">
        <v>32</v>
      </c>
      <c r="F224" s="1" t="s">
        <v>17</v>
      </c>
      <c r="G224" s="1">
        <v>10</v>
      </c>
      <c r="H224" s="1">
        <v>832</v>
      </c>
      <c r="I224" s="1">
        <v>8320</v>
      </c>
      <c r="J224" s="1">
        <v>1497.6</v>
      </c>
      <c r="K224" s="1">
        <v>0.18</v>
      </c>
      <c r="L224" s="1">
        <v>6822.4</v>
      </c>
      <c r="M224" s="1" t="s">
        <v>18</v>
      </c>
    </row>
    <row r="225" spans="1:13" x14ac:dyDescent="0.35">
      <c r="A225" s="1" t="s">
        <v>468</v>
      </c>
      <c r="B225" s="2">
        <v>45435</v>
      </c>
      <c r="C225" s="1" t="s">
        <v>97</v>
      </c>
      <c r="D225" s="1" t="s">
        <v>1491</v>
      </c>
      <c r="E225" s="1" t="s">
        <v>32</v>
      </c>
      <c r="F225" s="1" t="s">
        <v>17</v>
      </c>
      <c r="G225" s="1">
        <v>7</v>
      </c>
      <c r="H225" s="1">
        <v>3323</v>
      </c>
      <c r="I225" s="1">
        <v>23261</v>
      </c>
      <c r="J225" s="1">
        <v>6513.0800000000008</v>
      </c>
      <c r="K225" s="1">
        <v>0.28000000000000003</v>
      </c>
      <c r="L225" s="1">
        <v>16747.919999999998</v>
      </c>
      <c r="M225" s="1" t="s">
        <v>18</v>
      </c>
    </row>
    <row r="226" spans="1:13" x14ac:dyDescent="0.35">
      <c r="A226" s="1" t="s">
        <v>469</v>
      </c>
      <c r="B226" s="2">
        <v>45629</v>
      </c>
      <c r="C226" s="1" t="s">
        <v>134</v>
      </c>
      <c r="D226" s="1" t="s">
        <v>1492</v>
      </c>
      <c r="E226" s="1" t="s">
        <v>181</v>
      </c>
      <c r="F226" s="1" t="s">
        <v>22</v>
      </c>
      <c r="G226" s="1">
        <v>4</v>
      </c>
      <c r="H226" s="1">
        <v>3046</v>
      </c>
      <c r="I226" s="1">
        <v>12184</v>
      </c>
      <c r="J226" s="1">
        <v>974.72</v>
      </c>
      <c r="K226" s="1">
        <v>0.08</v>
      </c>
      <c r="L226" s="1">
        <v>11209.28</v>
      </c>
      <c r="M226" s="1" t="s">
        <v>18</v>
      </c>
    </row>
    <row r="227" spans="1:13" x14ac:dyDescent="0.35">
      <c r="A227" s="1" t="s">
        <v>470</v>
      </c>
      <c r="B227" s="2">
        <v>45287</v>
      </c>
      <c r="C227" s="1" t="s">
        <v>471</v>
      </c>
      <c r="D227" s="1" t="s">
        <v>1492</v>
      </c>
      <c r="E227" s="1" t="s">
        <v>16</v>
      </c>
      <c r="F227" s="1" t="s">
        <v>17</v>
      </c>
      <c r="G227" s="1">
        <v>9</v>
      </c>
      <c r="H227" s="1">
        <v>322</v>
      </c>
      <c r="I227" s="1">
        <v>2898</v>
      </c>
      <c r="J227" s="1">
        <v>231.84</v>
      </c>
      <c r="K227" s="1">
        <v>0.08</v>
      </c>
      <c r="L227" s="1">
        <v>2666.16</v>
      </c>
      <c r="M227" s="1" t="s">
        <v>18</v>
      </c>
    </row>
    <row r="228" spans="1:13" x14ac:dyDescent="0.35">
      <c r="A228" s="1" t="s">
        <v>472</v>
      </c>
      <c r="B228" s="2">
        <v>45186</v>
      </c>
      <c r="C228" s="1" t="s">
        <v>323</v>
      </c>
      <c r="D228" s="1" t="s">
        <v>1493</v>
      </c>
      <c r="E228" s="1" t="s">
        <v>44</v>
      </c>
      <c r="F228" s="1" t="s">
        <v>45</v>
      </c>
      <c r="G228" s="1">
        <v>3</v>
      </c>
      <c r="H228" s="1">
        <v>2520</v>
      </c>
      <c r="I228" s="1">
        <v>7560</v>
      </c>
      <c r="J228" s="1">
        <v>2116.8000000000002</v>
      </c>
      <c r="K228" s="1">
        <v>0.28000000000000003</v>
      </c>
      <c r="L228" s="1">
        <v>5443.2</v>
      </c>
      <c r="M228" s="1" t="s">
        <v>18</v>
      </c>
    </row>
    <row r="229" spans="1:13" x14ac:dyDescent="0.35">
      <c r="A229" s="1" t="s">
        <v>473</v>
      </c>
      <c r="B229" s="2">
        <v>45229</v>
      </c>
      <c r="C229" s="1" t="s">
        <v>180</v>
      </c>
      <c r="D229" s="1" t="s">
        <v>1490</v>
      </c>
      <c r="E229" s="1" t="s">
        <v>16</v>
      </c>
      <c r="F229" s="1" t="s">
        <v>17</v>
      </c>
      <c r="G229" s="1">
        <v>3</v>
      </c>
      <c r="H229" s="1">
        <v>1444</v>
      </c>
      <c r="I229" s="1">
        <v>4332</v>
      </c>
      <c r="J229" s="1">
        <v>259.92</v>
      </c>
      <c r="K229" s="1">
        <v>0.06</v>
      </c>
      <c r="L229" s="1">
        <v>4072.08</v>
      </c>
      <c r="M229" s="1" t="s">
        <v>18</v>
      </c>
    </row>
    <row r="230" spans="1:13" x14ac:dyDescent="0.35">
      <c r="A230" s="1" t="s">
        <v>474</v>
      </c>
      <c r="B230" s="2">
        <v>45498</v>
      </c>
      <c r="C230" s="1" t="s">
        <v>380</v>
      </c>
      <c r="D230" s="1" t="s">
        <v>1493</v>
      </c>
      <c r="E230" s="1" t="s">
        <v>60</v>
      </c>
      <c r="F230" s="1" t="s">
        <v>45</v>
      </c>
      <c r="G230" s="1">
        <v>3</v>
      </c>
      <c r="H230" s="1">
        <v>2255</v>
      </c>
      <c r="I230" s="1">
        <v>6765</v>
      </c>
      <c r="J230" s="1">
        <v>676.5</v>
      </c>
      <c r="K230" s="1">
        <v>0.1</v>
      </c>
      <c r="L230" s="1">
        <v>6088.5</v>
      </c>
      <c r="M230" s="1" t="s">
        <v>18</v>
      </c>
    </row>
    <row r="231" spans="1:13" x14ac:dyDescent="0.35">
      <c r="A231" s="1" t="s">
        <v>475</v>
      </c>
      <c r="B231" s="2">
        <v>45135</v>
      </c>
      <c r="C231" s="1" t="s">
        <v>380</v>
      </c>
      <c r="D231" s="1" t="s">
        <v>1493</v>
      </c>
      <c r="E231" s="1" t="s">
        <v>57</v>
      </c>
      <c r="F231" s="1" t="s">
        <v>45</v>
      </c>
      <c r="G231" s="1">
        <v>8</v>
      </c>
      <c r="H231" s="1">
        <v>4543</v>
      </c>
      <c r="I231" s="1">
        <v>36344</v>
      </c>
      <c r="J231" s="1">
        <v>9086</v>
      </c>
      <c r="K231" s="1">
        <v>0.25</v>
      </c>
      <c r="L231" s="1">
        <v>27258</v>
      </c>
      <c r="M231" s="1" t="s">
        <v>18</v>
      </c>
    </row>
    <row r="232" spans="1:13" x14ac:dyDescent="0.35">
      <c r="A232" s="1" t="s">
        <v>476</v>
      </c>
      <c r="B232" s="2">
        <v>45389</v>
      </c>
      <c r="C232" s="1" t="s">
        <v>89</v>
      </c>
      <c r="D232" s="1" t="s">
        <v>1490</v>
      </c>
      <c r="E232" s="1" t="s">
        <v>44</v>
      </c>
      <c r="F232" s="1" t="s">
        <v>45</v>
      </c>
      <c r="G232" s="1">
        <v>9</v>
      </c>
      <c r="H232" s="1">
        <v>2851</v>
      </c>
      <c r="I232" s="1">
        <v>25659</v>
      </c>
      <c r="J232" s="1">
        <v>1282.95</v>
      </c>
      <c r="K232" s="1">
        <v>0.05</v>
      </c>
      <c r="L232" s="1">
        <v>24376.05</v>
      </c>
      <c r="M232" s="1" t="s">
        <v>18</v>
      </c>
    </row>
    <row r="233" spans="1:13" x14ac:dyDescent="0.35">
      <c r="A233" s="1" t="s">
        <v>477</v>
      </c>
      <c r="B233" s="2">
        <v>45452</v>
      </c>
      <c r="C233" s="1" t="s">
        <v>266</v>
      </c>
      <c r="D233" s="1" t="s">
        <v>1490</v>
      </c>
      <c r="E233" s="1" t="s">
        <v>57</v>
      </c>
      <c r="F233" s="1" t="s">
        <v>45</v>
      </c>
      <c r="G233" s="1">
        <v>6</v>
      </c>
      <c r="H233" s="1">
        <v>4174</v>
      </c>
      <c r="I233" s="1">
        <v>25044</v>
      </c>
      <c r="J233" s="1">
        <v>4507.92</v>
      </c>
      <c r="K233" s="1">
        <v>0.18</v>
      </c>
      <c r="L233" s="1">
        <v>20536.080000000002</v>
      </c>
      <c r="M233" s="1" t="s">
        <v>18</v>
      </c>
    </row>
    <row r="234" spans="1:13" x14ac:dyDescent="0.35">
      <c r="A234" s="1" t="s">
        <v>478</v>
      </c>
      <c r="B234" s="2">
        <v>45232</v>
      </c>
      <c r="C234" s="1" t="s">
        <v>479</v>
      </c>
      <c r="D234" s="1" t="s">
        <v>1493</v>
      </c>
      <c r="E234" s="1" t="s">
        <v>181</v>
      </c>
      <c r="F234" s="1" t="s">
        <v>22</v>
      </c>
      <c r="G234" s="1">
        <v>3</v>
      </c>
      <c r="H234" s="1">
        <v>4257</v>
      </c>
      <c r="I234" s="1">
        <v>12771</v>
      </c>
      <c r="J234" s="1">
        <v>510.84000000000003</v>
      </c>
      <c r="K234" s="1">
        <v>0.04</v>
      </c>
      <c r="L234" s="1">
        <v>12260.16</v>
      </c>
      <c r="M234" s="1" t="s">
        <v>18</v>
      </c>
    </row>
    <row r="235" spans="1:13" x14ac:dyDescent="0.35">
      <c r="A235" s="1" t="s">
        <v>480</v>
      </c>
      <c r="B235" s="2">
        <v>45476</v>
      </c>
      <c r="C235" s="1" t="s">
        <v>360</v>
      </c>
      <c r="D235" s="1" t="s">
        <v>1493</v>
      </c>
      <c r="E235" s="1" t="s">
        <v>44</v>
      </c>
      <c r="F235" s="1" t="s">
        <v>45</v>
      </c>
      <c r="G235" s="1">
        <v>3</v>
      </c>
      <c r="H235" s="1">
        <v>875</v>
      </c>
      <c r="I235" s="1">
        <v>2625</v>
      </c>
      <c r="J235" s="1">
        <v>288.75</v>
      </c>
      <c r="K235" s="1">
        <v>0.11</v>
      </c>
      <c r="L235" s="1">
        <v>2336.25</v>
      </c>
      <c r="M235" s="1" t="s">
        <v>18</v>
      </c>
    </row>
    <row r="236" spans="1:13" x14ac:dyDescent="0.35">
      <c r="A236" s="1" t="s">
        <v>481</v>
      </c>
      <c r="B236" s="2">
        <v>45426</v>
      </c>
      <c r="C236" s="1" t="s">
        <v>165</v>
      </c>
      <c r="D236" s="1" t="s">
        <v>1490</v>
      </c>
      <c r="E236" s="1" t="s">
        <v>21</v>
      </c>
      <c r="F236" s="1" t="s">
        <v>22</v>
      </c>
      <c r="G236" s="1">
        <v>5</v>
      </c>
      <c r="H236" s="1">
        <v>749</v>
      </c>
      <c r="I236" s="1">
        <v>3745</v>
      </c>
      <c r="J236" s="1">
        <v>1048.6000000000001</v>
      </c>
      <c r="K236" s="1">
        <v>0.28000000000000003</v>
      </c>
      <c r="L236" s="1">
        <v>2696.4</v>
      </c>
      <c r="M236" s="1" t="s">
        <v>18</v>
      </c>
    </row>
    <row r="237" spans="1:13" x14ac:dyDescent="0.35">
      <c r="A237" s="1" t="s">
        <v>482</v>
      </c>
      <c r="B237" s="2">
        <v>45084</v>
      </c>
      <c r="C237" s="1" t="s">
        <v>148</v>
      </c>
      <c r="D237" s="1" t="s">
        <v>1493</v>
      </c>
      <c r="E237" s="1" t="s">
        <v>26</v>
      </c>
      <c r="F237" s="1" t="s">
        <v>17</v>
      </c>
      <c r="G237" s="1">
        <v>7</v>
      </c>
      <c r="H237" s="1">
        <v>4752</v>
      </c>
      <c r="I237" s="1">
        <v>33264</v>
      </c>
      <c r="J237" s="1">
        <v>6985.44</v>
      </c>
      <c r="K237" s="1">
        <v>0.21</v>
      </c>
      <c r="L237" s="1">
        <v>26278.560000000001</v>
      </c>
      <c r="M237" s="1" t="s">
        <v>18</v>
      </c>
    </row>
    <row r="238" spans="1:13" x14ac:dyDescent="0.35">
      <c r="A238" s="1" t="s">
        <v>483</v>
      </c>
      <c r="B238" s="2">
        <v>45047</v>
      </c>
      <c r="C238" s="1" t="s">
        <v>344</v>
      </c>
      <c r="D238" s="1" t="s">
        <v>1492</v>
      </c>
      <c r="E238" s="1" t="s">
        <v>16</v>
      </c>
      <c r="F238" s="1" t="s">
        <v>17</v>
      </c>
      <c r="G238" s="1">
        <v>6</v>
      </c>
      <c r="H238" s="1">
        <v>1459</v>
      </c>
      <c r="I238" s="1">
        <v>8754</v>
      </c>
      <c r="J238" s="1">
        <v>2276.04</v>
      </c>
      <c r="K238" s="1">
        <v>0.26</v>
      </c>
      <c r="L238" s="1">
        <v>6477.96</v>
      </c>
      <c r="M238" s="1" t="s">
        <v>18</v>
      </c>
    </row>
    <row r="239" spans="1:13" x14ac:dyDescent="0.35">
      <c r="A239" s="1" t="s">
        <v>484</v>
      </c>
      <c r="B239" s="2">
        <v>45594</v>
      </c>
      <c r="C239" s="1" t="s">
        <v>193</v>
      </c>
      <c r="D239" s="1" t="s">
        <v>1490</v>
      </c>
      <c r="E239" s="1" t="s">
        <v>29</v>
      </c>
      <c r="F239" s="1" t="s">
        <v>22</v>
      </c>
      <c r="G239" s="1">
        <v>10</v>
      </c>
      <c r="H239" s="1">
        <v>4496</v>
      </c>
      <c r="I239" s="1">
        <v>44960</v>
      </c>
      <c r="J239" s="1">
        <v>4945.6000000000004</v>
      </c>
      <c r="K239" s="1">
        <v>0.11</v>
      </c>
      <c r="L239" s="1">
        <v>40014.400000000001</v>
      </c>
      <c r="M239" s="1" t="s">
        <v>18</v>
      </c>
    </row>
    <row r="240" spans="1:13" x14ac:dyDescent="0.35">
      <c r="A240" s="1" t="s">
        <v>485</v>
      </c>
      <c r="B240" s="2">
        <v>45515</v>
      </c>
      <c r="C240" s="1" t="s">
        <v>254</v>
      </c>
      <c r="D240" s="1" t="s">
        <v>1490</v>
      </c>
      <c r="E240" s="1" t="s">
        <v>48</v>
      </c>
      <c r="F240" s="1" t="s">
        <v>17</v>
      </c>
      <c r="G240" s="1">
        <v>6</v>
      </c>
      <c r="H240" s="1">
        <v>3996</v>
      </c>
      <c r="I240" s="1">
        <v>23976</v>
      </c>
      <c r="J240" s="1">
        <v>5274.72</v>
      </c>
      <c r="K240" s="1">
        <v>0.22</v>
      </c>
      <c r="L240" s="1">
        <v>18701.28</v>
      </c>
      <c r="M240" s="1" t="s">
        <v>18</v>
      </c>
    </row>
    <row r="241" spans="1:13" x14ac:dyDescent="0.35">
      <c r="A241" s="1" t="s">
        <v>486</v>
      </c>
      <c r="B241" s="2">
        <v>45301</v>
      </c>
      <c r="C241" s="1" t="s">
        <v>487</v>
      </c>
      <c r="D241" s="1" t="s">
        <v>1493</v>
      </c>
      <c r="E241" s="1" t="s">
        <v>189</v>
      </c>
      <c r="F241" s="1" t="s">
        <v>45</v>
      </c>
      <c r="G241" s="1">
        <v>3</v>
      </c>
      <c r="H241" s="1">
        <v>2442</v>
      </c>
      <c r="I241" s="1">
        <v>7326</v>
      </c>
      <c r="J241" s="1">
        <v>293.04000000000002</v>
      </c>
      <c r="K241" s="1">
        <v>0.04</v>
      </c>
      <c r="L241" s="1">
        <v>7032.96</v>
      </c>
      <c r="M241" s="1" t="s">
        <v>18</v>
      </c>
    </row>
    <row r="242" spans="1:13" x14ac:dyDescent="0.35">
      <c r="A242" s="1" t="s">
        <v>488</v>
      </c>
      <c r="B242" s="2">
        <v>45596</v>
      </c>
      <c r="C242" s="1" t="s">
        <v>489</v>
      </c>
      <c r="D242" s="1" t="s">
        <v>1491</v>
      </c>
      <c r="E242" s="1" t="s">
        <v>39</v>
      </c>
      <c r="F242" s="1" t="s">
        <v>22</v>
      </c>
      <c r="G242" s="1">
        <v>10</v>
      </c>
      <c r="H242" s="1">
        <v>2234</v>
      </c>
      <c r="I242" s="1">
        <v>22340</v>
      </c>
      <c r="J242" s="1">
        <v>446.8</v>
      </c>
      <c r="K242" s="1">
        <v>0.02</v>
      </c>
      <c r="L242" s="1">
        <v>21893.200000000001</v>
      </c>
      <c r="M242" s="1" t="s">
        <v>18</v>
      </c>
    </row>
    <row r="243" spans="1:13" x14ac:dyDescent="0.35">
      <c r="A243" s="1" t="s">
        <v>490</v>
      </c>
      <c r="B243" s="2">
        <v>45489</v>
      </c>
      <c r="C243" s="1" t="s">
        <v>284</v>
      </c>
      <c r="D243" s="1" t="s">
        <v>1493</v>
      </c>
      <c r="E243" s="1" t="s">
        <v>181</v>
      </c>
      <c r="F243" s="1" t="s">
        <v>22</v>
      </c>
      <c r="G243" s="1">
        <v>7</v>
      </c>
      <c r="H243" s="1">
        <v>3519</v>
      </c>
      <c r="I243" s="1">
        <v>24633</v>
      </c>
      <c r="J243" s="1">
        <v>4187.6100000000006</v>
      </c>
      <c r="K243" s="1">
        <v>0.17</v>
      </c>
      <c r="L243" s="1">
        <v>20445.39</v>
      </c>
      <c r="M243" s="1" t="s">
        <v>18</v>
      </c>
    </row>
    <row r="244" spans="1:13" x14ac:dyDescent="0.35">
      <c r="A244" s="1" t="s">
        <v>491</v>
      </c>
      <c r="B244" s="2">
        <v>45114</v>
      </c>
      <c r="C244" s="1" t="s">
        <v>440</v>
      </c>
      <c r="D244" s="1" t="s">
        <v>1492</v>
      </c>
      <c r="E244" s="1" t="s">
        <v>48</v>
      </c>
      <c r="F244" s="1" t="s">
        <v>17</v>
      </c>
      <c r="G244" s="1">
        <v>9</v>
      </c>
      <c r="H244" s="1">
        <v>4706</v>
      </c>
      <c r="I244" s="1">
        <v>42354</v>
      </c>
      <c r="J244" s="1">
        <v>2541.2399999999998</v>
      </c>
      <c r="K244" s="1">
        <v>0.06</v>
      </c>
      <c r="L244" s="1">
        <v>39812.76</v>
      </c>
      <c r="M244" s="1" t="s">
        <v>18</v>
      </c>
    </row>
    <row r="245" spans="1:13" x14ac:dyDescent="0.35">
      <c r="A245" s="1" t="s">
        <v>492</v>
      </c>
      <c r="B245" s="2">
        <v>45156</v>
      </c>
      <c r="C245" s="1" t="s">
        <v>493</v>
      </c>
      <c r="D245" s="1" t="s">
        <v>1491</v>
      </c>
      <c r="E245" s="1" t="s">
        <v>57</v>
      </c>
      <c r="F245" s="1" t="s">
        <v>45</v>
      </c>
      <c r="G245" s="1">
        <v>4</v>
      </c>
      <c r="H245" s="1">
        <v>2180</v>
      </c>
      <c r="I245" s="1">
        <v>8720</v>
      </c>
      <c r="J245" s="1">
        <v>436</v>
      </c>
      <c r="K245" s="1">
        <v>0.05</v>
      </c>
      <c r="L245" s="1">
        <v>8284</v>
      </c>
      <c r="M245" s="1" t="s">
        <v>18</v>
      </c>
    </row>
    <row r="246" spans="1:13" x14ac:dyDescent="0.35">
      <c r="A246" s="1" t="s">
        <v>494</v>
      </c>
      <c r="B246" s="2">
        <v>45621</v>
      </c>
      <c r="C246" s="1" t="s">
        <v>382</v>
      </c>
      <c r="D246" s="1" t="s">
        <v>1490</v>
      </c>
      <c r="E246" s="1" t="s">
        <v>21</v>
      </c>
      <c r="F246" s="1" t="s">
        <v>22</v>
      </c>
      <c r="G246" s="1">
        <v>8</v>
      </c>
      <c r="H246" s="1">
        <v>4266</v>
      </c>
      <c r="I246" s="1">
        <v>34128</v>
      </c>
      <c r="J246" s="1">
        <v>4095.3599999999997</v>
      </c>
      <c r="K246" s="1">
        <v>0.12</v>
      </c>
      <c r="L246" s="1">
        <v>30032.639999999999</v>
      </c>
      <c r="M246" s="1" t="s">
        <v>18</v>
      </c>
    </row>
    <row r="247" spans="1:13" x14ac:dyDescent="0.35">
      <c r="A247" s="1" t="s">
        <v>495</v>
      </c>
      <c r="B247" s="2">
        <v>44964</v>
      </c>
      <c r="C247" s="1" t="s">
        <v>463</v>
      </c>
      <c r="D247" s="1" t="s">
        <v>1490</v>
      </c>
      <c r="E247" s="1" t="s">
        <v>29</v>
      </c>
      <c r="F247" s="1" t="s">
        <v>22</v>
      </c>
      <c r="G247" s="1">
        <v>8</v>
      </c>
      <c r="H247" s="1">
        <v>188</v>
      </c>
      <c r="I247" s="1">
        <v>1504</v>
      </c>
      <c r="J247" s="1">
        <v>240.64000000000001</v>
      </c>
      <c r="K247" s="1">
        <v>0.16</v>
      </c>
      <c r="L247" s="1">
        <v>1263.3599999999999</v>
      </c>
      <c r="M247" s="1" t="s">
        <v>18</v>
      </c>
    </row>
    <row r="248" spans="1:13" x14ac:dyDescent="0.35">
      <c r="A248" s="1" t="s">
        <v>496</v>
      </c>
      <c r="B248" s="2">
        <v>45032</v>
      </c>
      <c r="C248" s="1" t="s">
        <v>231</v>
      </c>
      <c r="D248" s="1" t="s">
        <v>1491</v>
      </c>
      <c r="E248" s="1" t="s">
        <v>21</v>
      </c>
      <c r="F248" s="1" t="s">
        <v>22</v>
      </c>
      <c r="G248" s="1">
        <v>5</v>
      </c>
      <c r="H248" s="1">
        <v>4510</v>
      </c>
      <c r="I248" s="1">
        <v>22550</v>
      </c>
      <c r="J248" s="1">
        <v>902</v>
      </c>
      <c r="K248" s="1">
        <v>0.04</v>
      </c>
      <c r="L248" s="1">
        <v>21648</v>
      </c>
      <c r="M248" s="1" t="s">
        <v>18</v>
      </c>
    </row>
    <row r="249" spans="1:13" x14ac:dyDescent="0.35">
      <c r="A249" s="1" t="s">
        <v>497</v>
      </c>
      <c r="B249" s="2">
        <v>45543</v>
      </c>
      <c r="C249" s="1" t="s">
        <v>498</v>
      </c>
      <c r="D249" s="1" t="s">
        <v>1493</v>
      </c>
      <c r="E249" s="1" t="s">
        <v>26</v>
      </c>
      <c r="F249" s="1" t="s">
        <v>17</v>
      </c>
      <c r="G249" s="1">
        <v>1</v>
      </c>
      <c r="H249" s="1">
        <v>3446</v>
      </c>
      <c r="I249" s="1">
        <v>3446</v>
      </c>
      <c r="J249" s="1">
        <v>758.12</v>
      </c>
      <c r="K249" s="1">
        <v>0.22</v>
      </c>
      <c r="L249" s="1">
        <v>2687.88</v>
      </c>
      <c r="M249" s="1" t="s">
        <v>18</v>
      </c>
    </row>
    <row r="250" spans="1:13" x14ac:dyDescent="0.35">
      <c r="A250" s="1" t="s">
        <v>499</v>
      </c>
      <c r="B250" s="2">
        <v>45133</v>
      </c>
      <c r="C250" s="1" t="s">
        <v>500</v>
      </c>
      <c r="D250" s="1" t="s">
        <v>1492</v>
      </c>
      <c r="E250" s="1" t="s">
        <v>16</v>
      </c>
      <c r="F250" s="1" t="s">
        <v>17</v>
      </c>
      <c r="G250" s="1">
        <v>2</v>
      </c>
      <c r="H250" s="1">
        <v>1781</v>
      </c>
      <c r="I250" s="1">
        <v>3562</v>
      </c>
      <c r="J250" s="1">
        <v>819.26</v>
      </c>
      <c r="K250" s="1">
        <v>0.23</v>
      </c>
      <c r="L250" s="1">
        <v>2742.74</v>
      </c>
      <c r="M250" s="1" t="s">
        <v>18</v>
      </c>
    </row>
    <row r="251" spans="1:13" x14ac:dyDescent="0.35">
      <c r="A251" s="1" t="s">
        <v>501</v>
      </c>
      <c r="B251" s="2">
        <v>45560</v>
      </c>
      <c r="C251" s="1" t="s">
        <v>292</v>
      </c>
      <c r="D251" s="1" t="s">
        <v>1490</v>
      </c>
      <c r="E251" s="1" t="s">
        <v>29</v>
      </c>
      <c r="F251" s="1" t="s">
        <v>22</v>
      </c>
      <c r="G251" s="1">
        <v>3</v>
      </c>
      <c r="H251" s="1">
        <v>4566</v>
      </c>
      <c r="I251" s="1">
        <v>13698</v>
      </c>
      <c r="J251" s="1">
        <v>3972.4199999999996</v>
      </c>
      <c r="K251" s="1">
        <v>0.28999999999999998</v>
      </c>
      <c r="L251" s="1">
        <v>9725.58</v>
      </c>
      <c r="M251" s="1" t="s">
        <v>18</v>
      </c>
    </row>
    <row r="252" spans="1:13" x14ac:dyDescent="0.35">
      <c r="A252" s="1" t="s">
        <v>502</v>
      </c>
      <c r="B252" s="2">
        <v>45118</v>
      </c>
      <c r="C252" s="1" t="s">
        <v>248</v>
      </c>
      <c r="D252" s="1" t="s">
        <v>1492</v>
      </c>
      <c r="E252" s="1" t="s">
        <v>39</v>
      </c>
      <c r="F252" s="1" t="s">
        <v>22</v>
      </c>
      <c r="G252" s="1">
        <v>1</v>
      </c>
      <c r="H252" s="1">
        <v>507</v>
      </c>
      <c r="I252" s="1">
        <v>507</v>
      </c>
      <c r="J252" s="1">
        <v>50.7</v>
      </c>
      <c r="K252" s="1">
        <v>0.1</v>
      </c>
      <c r="L252" s="1">
        <v>456.3</v>
      </c>
      <c r="M252" s="1" t="s">
        <v>18</v>
      </c>
    </row>
    <row r="253" spans="1:13" x14ac:dyDescent="0.35">
      <c r="A253" s="1" t="s">
        <v>503</v>
      </c>
      <c r="B253" s="2">
        <v>45414</v>
      </c>
      <c r="C253" s="1" t="s">
        <v>161</v>
      </c>
      <c r="D253" s="1" t="s">
        <v>1490</v>
      </c>
      <c r="E253" s="1" t="s">
        <v>48</v>
      </c>
      <c r="F253" s="1" t="s">
        <v>17</v>
      </c>
      <c r="G253" s="1">
        <v>10</v>
      </c>
      <c r="H253" s="1">
        <v>1546</v>
      </c>
      <c r="I253" s="1">
        <v>15460</v>
      </c>
      <c r="J253" s="1">
        <v>2937.4</v>
      </c>
      <c r="K253" s="1">
        <v>0.19</v>
      </c>
      <c r="L253" s="1">
        <v>12522.6</v>
      </c>
      <c r="M253" s="1" t="s">
        <v>18</v>
      </c>
    </row>
    <row r="254" spans="1:13" x14ac:dyDescent="0.35">
      <c r="A254" s="1" t="s">
        <v>504</v>
      </c>
      <c r="B254" s="2">
        <v>45074</v>
      </c>
      <c r="C254" s="1" t="s">
        <v>429</v>
      </c>
      <c r="D254" s="1" t="s">
        <v>1491</v>
      </c>
      <c r="E254" s="1" t="s">
        <v>21</v>
      </c>
      <c r="F254" s="1" t="s">
        <v>22</v>
      </c>
      <c r="G254" s="1">
        <v>4</v>
      </c>
      <c r="H254" s="1">
        <v>3646</v>
      </c>
      <c r="I254" s="1">
        <v>14584</v>
      </c>
      <c r="J254" s="1">
        <v>3500.16</v>
      </c>
      <c r="K254" s="1">
        <v>0.24</v>
      </c>
      <c r="L254" s="1">
        <v>11083.84</v>
      </c>
      <c r="M254" s="1" t="s">
        <v>18</v>
      </c>
    </row>
    <row r="255" spans="1:13" x14ac:dyDescent="0.35">
      <c r="A255" s="1" t="s">
        <v>505</v>
      </c>
      <c r="B255" s="2">
        <v>45122</v>
      </c>
      <c r="C255" s="1" t="s">
        <v>56</v>
      </c>
      <c r="D255" s="1" t="s">
        <v>1490</v>
      </c>
      <c r="E255" s="1" t="s">
        <v>26</v>
      </c>
      <c r="F255" s="1" t="s">
        <v>17</v>
      </c>
      <c r="G255" s="1">
        <v>2</v>
      </c>
      <c r="H255" s="1">
        <v>3706</v>
      </c>
      <c r="I255" s="1">
        <v>7412</v>
      </c>
      <c r="J255" s="1">
        <v>1408.28</v>
      </c>
      <c r="K255" s="1">
        <v>0.19</v>
      </c>
      <c r="L255" s="1">
        <v>6003.72</v>
      </c>
      <c r="M255" s="1" t="s">
        <v>18</v>
      </c>
    </row>
    <row r="256" spans="1:13" x14ac:dyDescent="0.35">
      <c r="A256" s="1" t="s">
        <v>506</v>
      </c>
      <c r="B256" s="2">
        <v>45347</v>
      </c>
      <c r="C256" s="1" t="s">
        <v>507</v>
      </c>
      <c r="D256" s="1" t="s">
        <v>1490</v>
      </c>
      <c r="E256" s="1" t="s">
        <v>26</v>
      </c>
      <c r="F256" s="1" t="s">
        <v>17</v>
      </c>
      <c r="G256" s="1">
        <v>10</v>
      </c>
      <c r="H256" s="1">
        <v>4255</v>
      </c>
      <c r="I256" s="1">
        <v>42550</v>
      </c>
      <c r="J256" s="1">
        <v>3404</v>
      </c>
      <c r="K256" s="1">
        <v>0.08</v>
      </c>
      <c r="L256" s="1">
        <v>39146</v>
      </c>
      <c r="M256" s="1" t="s">
        <v>18</v>
      </c>
    </row>
    <row r="257" spans="1:13" x14ac:dyDescent="0.35">
      <c r="A257" s="1" t="s">
        <v>508</v>
      </c>
      <c r="B257" s="2">
        <v>45269</v>
      </c>
      <c r="C257" s="1" t="s">
        <v>157</v>
      </c>
      <c r="D257" s="1" t="s">
        <v>1490</v>
      </c>
      <c r="E257" s="1" t="s">
        <v>48</v>
      </c>
      <c r="F257" s="1" t="s">
        <v>17</v>
      </c>
      <c r="G257" s="1">
        <v>5</v>
      </c>
      <c r="H257" s="1">
        <v>175</v>
      </c>
      <c r="I257" s="1">
        <v>875</v>
      </c>
      <c r="J257" s="1">
        <v>61.250000000000007</v>
      </c>
      <c r="K257" s="1">
        <v>7.0000000000000007E-2</v>
      </c>
      <c r="L257" s="1">
        <v>813.75</v>
      </c>
      <c r="M257" s="1" t="s">
        <v>18</v>
      </c>
    </row>
    <row r="258" spans="1:13" x14ac:dyDescent="0.35">
      <c r="A258" s="1" t="s">
        <v>509</v>
      </c>
      <c r="B258" s="2">
        <v>45025</v>
      </c>
      <c r="C258" s="1" t="s">
        <v>259</v>
      </c>
      <c r="D258" s="1" t="s">
        <v>1491</v>
      </c>
      <c r="E258" s="1" t="s">
        <v>44</v>
      </c>
      <c r="F258" s="1" t="s">
        <v>45</v>
      </c>
      <c r="G258" s="1">
        <v>6</v>
      </c>
      <c r="H258" s="1">
        <v>1777</v>
      </c>
      <c r="I258" s="1">
        <v>10662</v>
      </c>
      <c r="J258" s="1">
        <v>3091.9799999999996</v>
      </c>
      <c r="K258" s="1">
        <v>0.28999999999999998</v>
      </c>
      <c r="L258" s="1">
        <v>7570.02</v>
      </c>
      <c r="M258" s="1" t="s">
        <v>18</v>
      </c>
    </row>
    <row r="259" spans="1:13" x14ac:dyDescent="0.35">
      <c r="A259" s="1" t="s">
        <v>510</v>
      </c>
      <c r="B259" s="2">
        <v>45097</v>
      </c>
      <c r="C259" s="1" t="s">
        <v>511</v>
      </c>
      <c r="D259" s="1" t="s">
        <v>1490</v>
      </c>
      <c r="E259" s="1" t="s">
        <v>57</v>
      </c>
      <c r="F259" s="1" t="s">
        <v>45</v>
      </c>
      <c r="G259" s="1">
        <v>1</v>
      </c>
      <c r="H259" s="1">
        <v>1920</v>
      </c>
      <c r="I259" s="1">
        <v>1920</v>
      </c>
      <c r="J259" s="1">
        <v>441.6</v>
      </c>
      <c r="K259" s="1">
        <v>0.23</v>
      </c>
      <c r="L259" s="1">
        <v>1478.4</v>
      </c>
      <c r="M259" s="1" t="s">
        <v>18</v>
      </c>
    </row>
    <row r="260" spans="1:13" x14ac:dyDescent="0.35">
      <c r="A260" s="1" t="s">
        <v>512</v>
      </c>
      <c r="B260" s="2">
        <v>45256</v>
      </c>
      <c r="C260" s="1" t="s">
        <v>308</v>
      </c>
      <c r="D260" s="1" t="s">
        <v>1490</v>
      </c>
      <c r="E260" s="1" t="s">
        <v>60</v>
      </c>
      <c r="F260" s="1" t="s">
        <v>45</v>
      </c>
      <c r="G260" s="1">
        <v>8</v>
      </c>
      <c r="H260" s="1">
        <v>1347</v>
      </c>
      <c r="I260" s="1">
        <v>10776</v>
      </c>
      <c r="J260" s="1">
        <v>1185.3599999999999</v>
      </c>
      <c r="K260" s="1">
        <v>0.11</v>
      </c>
      <c r="L260" s="1">
        <v>9590.64</v>
      </c>
      <c r="M260" s="1" t="s">
        <v>18</v>
      </c>
    </row>
    <row r="261" spans="1:13" x14ac:dyDescent="0.35">
      <c r="A261" s="1" t="s">
        <v>513</v>
      </c>
      <c r="B261" s="2">
        <v>45005</v>
      </c>
      <c r="C261" s="1" t="s">
        <v>443</v>
      </c>
      <c r="D261" s="1" t="s">
        <v>1493</v>
      </c>
      <c r="E261" s="1" t="s">
        <v>39</v>
      </c>
      <c r="F261" s="1" t="s">
        <v>22</v>
      </c>
      <c r="G261" s="1">
        <v>2</v>
      </c>
      <c r="H261" s="1">
        <v>2235</v>
      </c>
      <c r="I261" s="1">
        <v>4470</v>
      </c>
      <c r="J261" s="1">
        <v>849.3</v>
      </c>
      <c r="K261" s="1">
        <v>0.19</v>
      </c>
      <c r="L261" s="1">
        <v>3620.7</v>
      </c>
      <c r="M261" s="1" t="s">
        <v>18</v>
      </c>
    </row>
    <row r="262" spans="1:13" x14ac:dyDescent="0.35">
      <c r="A262" s="1" t="s">
        <v>514</v>
      </c>
      <c r="B262" s="2">
        <v>45165</v>
      </c>
      <c r="C262" s="1" t="s">
        <v>445</v>
      </c>
      <c r="D262" s="1" t="s">
        <v>1493</v>
      </c>
      <c r="E262" s="1" t="s">
        <v>181</v>
      </c>
      <c r="F262" s="1" t="s">
        <v>22</v>
      </c>
      <c r="G262" s="1">
        <v>5</v>
      </c>
      <c r="H262" s="1">
        <v>2127</v>
      </c>
      <c r="I262" s="1">
        <v>10635</v>
      </c>
      <c r="J262" s="1">
        <v>1063.5</v>
      </c>
      <c r="K262" s="1">
        <v>0.1</v>
      </c>
      <c r="L262" s="1">
        <v>9571.5</v>
      </c>
      <c r="M262" s="1" t="s">
        <v>18</v>
      </c>
    </row>
    <row r="263" spans="1:13" x14ac:dyDescent="0.35">
      <c r="A263" s="1" t="s">
        <v>515</v>
      </c>
      <c r="B263" s="2">
        <v>44975</v>
      </c>
      <c r="C263" s="1" t="s">
        <v>210</v>
      </c>
      <c r="D263" s="1" t="s">
        <v>1490</v>
      </c>
      <c r="E263" s="1" t="s">
        <v>60</v>
      </c>
      <c r="F263" s="1" t="s">
        <v>45</v>
      </c>
      <c r="G263" s="1">
        <v>6</v>
      </c>
      <c r="H263" s="1">
        <v>3947</v>
      </c>
      <c r="I263" s="1">
        <v>23682</v>
      </c>
      <c r="J263" s="1">
        <v>2841.8399999999997</v>
      </c>
      <c r="K263" s="1">
        <v>0.12</v>
      </c>
      <c r="L263" s="1">
        <v>20840.16</v>
      </c>
      <c r="M263" s="1" t="s">
        <v>18</v>
      </c>
    </row>
    <row r="264" spans="1:13" x14ac:dyDescent="0.35">
      <c r="A264" s="1" t="s">
        <v>516</v>
      </c>
      <c r="B264" s="2">
        <v>45549</v>
      </c>
      <c r="C264" s="1" t="s">
        <v>118</v>
      </c>
      <c r="D264" s="1" t="s">
        <v>1492</v>
      </c>
      <c r="E264" s="1" t="s">
        <v>29</v>
      </c>
      <c r="F264" s="1" t="s">
        <v>22</v>
      </c>
      <c r="G264" s="1">
        <v>6</v>
      </c>
      <c r="H264" s="1">
        <v>3640</v>
      </c>
      <c r="I264" s="1">
        <v>21840</v>
      </c>
      <c r="J264" s="1">
        <v>5460</v>
      </c>
      <c r="K264" s="1">
        <v>0.25</v>
      </c>
      <c r="L264" s="1">
        <v>16380</v>
      </c>
      <c r="M264" s="1" t="s">
        <v>18</v>
      </c>
    </row>
    <row r="265" spans="1:13" x14ac:dyDescent="0.35">
      <c r="A265" s="1" t="s">
        <v>517</v>
      </c>
      <c r="B265" s="2">
        <v>45510</v>
      </c>
      <c r="C265" s="1" t="s">
        <v>518</v>
      </c>
      <c r="D265" s="1" t="s">
        <v>1492</v>
      </c>
      <c r="E265" s="1" t="s">
        <v>32</v>
      </c>
      <c r="F265" s="1" t="s">
        <v>17</v>
      </c>
      <c r="G265" s="1">
        <v>10</v>
      </c>
      <c r="H265" s="1">
        <v>3914</v>
      </c>
      <c r="I265" s="1">
        <v>39140</v>
      </c>
      <c r="J265" s="1">
        <v>3914</v>
      </c>
      <c r="K265" s="1">
        <v>0.1</v>
      </c>
      <c r="L265" s="1">
        <v>35226</v>
      </c>
      <c r="M265" s="1" t="s">
        <v>18</v>
      </c>
    </row>
    <row r="266" spans="1:13" x14ac:dyDescent="0.35">
      <c r="A266" s="1" t="s">
        <v>519</v>
      </c>
      <c r="B266" s="2">
        <v>44929</v>
      </c>
      <c r="C266" s="1" t="s">
        <v>231</v>
      </c>
      <c r="D266" s="1" t="s">
        <v>1491</v>
      </c>
      <c r="E266" s="1" t="s">
        <v>29</v>
      </c>
      <c r="F266" s="1" t="s">
        <v>22</v>
      </c>
      <c r="G266" s="1">
        <v>3</v>
      </c>
      <c r="H266" s="1">
        <v>4134</v>
      </c>
      <c r="I266" s="1">
        <v>12402</v>
      </c>
      <c r="J266" s="1">
        <v>620.1</v>
      </c>
      <c r="K266" s="1">
        <v>0.05</v>
      </c>
      <c r="L266" s="1">
        <v>11781.9</v>
      </c>
      <c r="M266" s="1" t="s">
        <v>18</v>
      </c>
    </row>
    <row r="267" spans="1:13" x14ac:dyDescent="0.35">
      <c r="A267" s="1" t="s">
        <v>520</v>
      </c>
      <c r="B267" s="2">
        <v>45439</v>
      </c>
      <c r="C267" s="1" t="s">
        <v>223</v>
      </c>
      <c r="D267" s="1" t="s">
        <v>1492</v>
      </c>
      <c r="E267" s="1" t="s">
        <v>44</v>
      </c>
      <c r="F267" s="1" t="s">
        <v>45</v>
      </c>
      <c r="G267" s="1">
        <v>3</v>
      </c>
      <c r="H267" s="1">
        <v>293</v>
      </c>
      <c r="I267" s="1">
        <v>879</v>
      </c>
      <c r="J267" s="1">
        <v>263.7</v>
      </c>
      <c r="K267" s="1">
        <v>0.3</v>
      </c>
      <c r="L267" s="1">
        <v>615.29999999999995</v>
      </c>
      <c r="M267" s="1" t="s">
        <v>18</v>
      </c>
    </row>
    <row r="268" spans="1:13" x14ac:dyDescent="0.35">
      <c r="A268" s="1" t="s">
        <v>521</v>
      </c>
      <c r="B268" s="2">
        <v>45174</v>
      </c>
      <c r="C268" s="1" t="s">
        <v>185</v>
      </c>
      <c r="D268" s="1" t="s">
        <v>1492</v>
      </c>
      <c r="E268" s="1" t="s">
        <v>181</v>
      </c>
      <c r="F268" s="1" t="s">
        <v>22</v>
      </c>
      <c r="G268" s="1">
        <v>10</v>
      </c>
      <c r="H268" s="1">
        <v>2189</v>
      </c>
      <c r="I268" s="1">
        <v>21890</v>
      </c>
      <c r="J268" s="1">
        <v>3283.5</v>
      </c>
      <c r="K268" s="1">
        <v>0.15</v>
      </c>
      <c r="L268" s="1">
        <v>18606.5</v>
      </c>
      <c r="M268" s="1" t="s">
        <v>18</v>
      </c>
    </row>
    <row r="269" spans="1:13" x14ac:dyDescent="0.35">
      <c r="A269" s="1" t="s">
        <v>522</v>
      </c>
      <c r="B269" s="2">
        <v>45093</v>
      </c>
      <c r="C269" s="1" t="s">
        <v>262</v>
      </c>
      <c r="D269" s="1" t="s">
        <v>1490</v>
      </c>
      <c r="E269" s="1" t="s">
        <v>57</v>
      </c>
      <c r="F269" s="1" t="s">
        <v>45</v>
      </c>
      <c r="G269" s="1">
        <v>7</v>
      </c>
      <c r="H269" s="1">
        <v>3315</v>
      </c>
      <c r="I269" s="1">
        <v>23205</v>
      </c>
      <c r="J269" s="1">
        <v>2088.4499999999998</v>
      </c>
      <c r="K269" s="1">
        <v>0.09</v>
      </c>
      <c r="L269" s="1">
        <v>21116.55</v>
      </c>
      <c r="M269" s="1" t="s">
        <v>18</v>
      </c>
    </row>
    <row r="270" spans="1:13" x14ac:dyDescent="0.35">
      <c r="A270" s="1" t="s">
        <v>523</v>
      </c>
      <c r="B270" s="2">
        <v>45246</v>
      </c>
      <c r="C270" s="1" t="s">
        <v>380</v>
      </c>
      <c r="D270" s="1" t="s">
        <v>1493</v>
      </c>
      <c r="E270" s="1" t="s">
        <v>39</v>
      </c>
      <c r="F270" s="1" t="s">
        <v>22</v>
      </c>
      <c r="G270" s="1">
        <v>8</v>
      </c>
      <c r="H270" s="1">
        <v>1681</v>
      </c>
      <c r="I270" s="1">
        <v>13448</v>
      </c>
      <c r="J270" s="1">
        <v>941.36000000000013</v>
      </c>
      <c r="K270" s="1">
        <v>7.0000000000000007E-2</v>
      </c>
      <c r="L270" s="1">
        <v>12506.64</v>
      </c>
      <c r="M270" s="1" t="s">
        <v>18</v>
      </c>
    </row>
    <row r="271" spans="1:13" x14ac:dyDescent="0.35">
      <c r="A271" s="1" t="s">
        <v>524</v>
      </c>
      <c r="B271" s="2">
        <v>45409</v>
      </c>
      <c r="C271" s="1" t="s">
        <v>314</v>
      </c>
      <c r="D271" s="1" t="s">
        <v>1492</v>
      </c>
      <c r="E271" s="1" t="s">
        <v>32</v>
      </c>
      <c r="F271" s="1" t="s">
        <v>17</v>
      </c>
      <c r="G271" s="1">
        <v>3</v>
      </c>
      <c r="H271" s="1">
        <v>907</v>
      </c>
      <c r="I271" s="1">
        <v>2721</v>
      </c>
      <c r="J271" s="1">
        <v>462.57000000000005</v>
      </c>
      <c r="K271" s="1">
        <v>0.17</v>
      </c>
      <c r="L271" s="1">
        <v>2258.4299999999998</v>
      </c>
      <c r="M271" s="1" t="s">
        <v>18</v>
      </c>
    </row>
    <row r="272" spans="1:13" x14ac:dyDescent="0.35">
      <c r="A272" s="1" t="s">
        <v>525</v>
      </c>
      <c r="B272" s="2">
        <v>45061</v>
      </c>
      <c r="C272" s="1" t="s">
        <v>518</v>
      </c>
      <c r="D272" s="1" t="s">
        <v>1492</v>
      </c>
      <c r="E272" s="1" t="s">
        <v>48</v>
      </c>
      <c r="F272" s="1" t="s">
        <v>17</v>
      </c>
      <c r="G272" s="1">
        <v>7</v>
      </c>
      <c r="H272" s="1">
        <v>3820</v>
      </c>
      <c r="I272" s="1">
        <v>26740</v>
      </c>
      <c r="J272" s="1">
        <v>6685</v>
      </c>
      <c r="K272" s="1">
        <v>0.25</v>
      </c>
      <c r="L272" s="1">
        <v>20055</v>
      </c>
      <c r="M272" s="1" t="s">
        <v>18</v>
      </c>
    </row>
    <row r="273" spans="1:13" x14ac:dyDescent="0.35">
      <c r="A273" s="1" t="s">
        <v>526</v>
      </c>
      <c r="B273" s="2">
        <v>45050</v>
      </c>
      <c r="C273" s="1" t="s">
        <v>275</v>
      </c>
      <c r="D273" s="1" t="s">
        <v>1492</v>
      </c>
      <c r="E273" s="1" t="s">
        <v>60</v>
      </c>
      <c r="F273" s="1" t="s">
        <v>45</v>
      </c>
      <c r="G273" s="1">
        <v>4</v>
      </c>
      <c r="H273" s="1">
        <v>987</v>
      </c>
      <c r="I273" s="1">
        <v>3948</v>
      </c>
      <c r="J273" s="1">
        <v>552.72</v>
      </c>
      <c r="K273" s="1">
        <v>0.14000000000000001</v>
      </c>
      <c r="L273" s="1">
        <v>3395.28</v>
      </c>
      <c r="M273" s="1" t="s">
        <v>18</v>
      </c>
    </row>
    <row r="274" spans="1:13" x14ac:dyDescent="0.35">
      <c r="A274" s="1" t="s">
        <v>527</v>
      </c>
      <c r="B274" s="2">
        <v>45565</v>
      </c>
      <c r="C274" s="1" t="s">
        <v>246</v>
      </c>
      <c r="D274" s="1" t="s">
        <v>1492</v>
      </c>
      <c r="E274" s="1" t="s">
        <v>29</v>
      </c>
      <c r="F274" s="1" t="s">
        <v>22</v>
      </c>
      <c r="G274" s="1">
        <v>7</v>
      </c>
      <c r="H274" s="1">
        <v>754</v>
      </c>
      <c r="I274" s="1">
        <v>5278</v>
      </c>
      <c r="J274" s="1">
        <v>1108.3799999999999</v>
      </c>
      <c r="K274" s="1">
        <v>0.21</v>
      </c>
      <c r="L274" s="1">
        <v>4169.62</v>
      </c>
      <c r="M274" s="1" t="s">
        <v>18</v>
      </c>
    </row>
    <row r="275" spans="1:13" x14ac:dyDescent="0.35">
      <c r="A275" s="1" t="s">
        <v>528</v>
      </c>
      <c r="B275" s="2">
        <v>45463</v>
      </c>
      <c r="C275" s="1" t="s">
        <v>37</v>
      </c>
      <c r="D275" s="1" t="s">
        <v>1493</v>
      </c>
      <c r="E275" s="1" t="s">
        <v>48</v>
      </c>
      <c r="F275" s="1" t="s">
        <v>17</v>
      </c>
      <c r="G275" s="1">
        <v>9</v>
      </c>
      <c r="H275" s="1">
        <v>3268</v>
      </c>
      <c r="I275" s="1">
        <v>29412</v>
      </c>
      <c r="J275" s="1">
        <v>7353</v>
      </c>
      <c r="K275" s="1">
        <v>0.25</v>
      </c>
      <c r="L275" s="1">
        <v>22059</v>
      </c>
      <c r="M275" s="1" t="s">
        <v>18</v>
      </c>
    </row>
    <row r="276" spans="1:13" x14ac:dyDescent="0.35">
      <c r="A276" s="1" t="s">
        <v>529</v>
      </c>
      <c r="B276" s="2">
        <v>45234</v>
      </c>
      <c r="C276" s="1" t="s">
        <v>511</v>
      </c>
      <c r="D276" s="1" t="s">
        <v>1490</v>
      </c>
      <c r="E276" s="1" t="s">
        <v>57</v>
      </c>
      <c r="F276" s="1" t="s">
        <v>45</v>
      </c>
      <c r="G276" s="1">
        <v>4</v>
      </c>
      <c r="H276" s="1">
        <v>4612</v>
      </c>
      <c r="I276" s="1">
        <v>18448</v>
      </c>
      <c r="J276" s="1">
        <v>4796.4800000000005</v>
      </c>
      <c r="K276" s="1">
        <v>0.26</v>
      </c>
      <c r="L276" s="1">
        <v>13651.52</v>
      </c>
      <c r="M276" s="1" t="s">
        <v>18</v>
      </c>
    </row>
    <row r="277" spans="1:13" x14ac:dyDescent="0.35">
      <c r="A277" s="1" t="s">
        <v>530</v>
      </c>
      <c r="B277" s="2">
        <v>45428</v>
      </c>
      <c r="C277" s="1" t="s">
        <v>24</v>
      </c>
      <c r="D277" s="1" t="s">
        <v>1491</v>
      </c>
      <c r="E277" s="1" t="s">
        <v>39</v>
      </c>
      <c r="F277" s="1" t="s">
        <v>22</v>
      </c>
      <c r="G277" s="1">
        <v>6</v>
      </c>
      <c r="H277" s="1">
        <v>319</v>
      </c>
      <c r="I277" s="1">
        <v>1914</v>
      </c>
      <c r="J277" s="1">
        <v>497.64000000000004</v>
      </c>
      <c r="K277" s="1">
        <v>0.26</v>
      </c>
      <c r="L277" s="1">
        <v>1416.36</v>
      </c>
      <c r="M277" s="1" t="s">
        <v>18</v>
      </c>
    </row>
    <row r="278" spans="1:13" x14ac:dyDescent="0.35">
      <c r="A278" s="1" t="s">
        <v>531</v>
      </c>
      <c r="B278" s="2">
        <v>45217</v>
      </c>
      <c r="C278" s="1" t="s">
        <v>427</v>
      </c>
      <c r="D278" s="1" t="s">
        <v>1491</v>
      </c>
      <c r="E278" s="1" t="s">
        <v>16</v>
      </c>
      <c r="F278" s="1" t="s">
        <v>17</v>
      </c>
      <c r="G278" s="1">
        <v>9</v>
      </c>
      <c r="H278" s="1">
        <v>3722</v>
      </c>
      <c r="I278" s="1">
        <v>33498</v>
      </c>
      <c r="J278" s="1">
        <v>1674.9</v>
      </c>
      <c r="K278" s="1">
        <v>0.05</v>
      </c>
      <c r="L278" s="1">
        <v>31823.1</v>
      </c>
      <c r="M278" s="1" t="s">
        <v>18</v>
      </c>
    </row>
    <row r="279" spans="1:13" x14ac:dyDescent="0.35">
      <c r="A279" s="1" t="s">
        <v>532</v>
      </c>
      <c r="B279" s="2">
        <v>44959</v>
      </c>
      <c r="C279" s="1" t="s">
        <v>93</v>
      </c>
      <c r="D279" s="1" t="s">
        <v>1492</v>
      </c>
      <c r="E279" s="1" t="s">
        <v>39</v>
      </c>
      <c r="F279" s="1" t="s">
        <v>22</v>
      </c>
      <c r="G279" s="1">
        <v>1</v>
      </c>
      <c r="H279" s="1">
        <v>3474</v>
      </c>
      <c r="I279" s="1">
        <v>3474</v>
      </c>
      <c r="J279" s="1">
        <v>868.5</v>
      </c>
      <c r="K279" s="1">
        <v>0.25</v>
      </c>
      <c r="L279" s="1">
        <v>2605.5</v>
      </c>
      <c r="M279" s="1" t="s">
        <v>18</v>
      </c>
    </row>
    <row r="280" spans="1:13" x14ac:dyDescent="0.35">
      <c r="A280" s="1" t="s">
        <v>533</v>
      </c>
      <c r="B280" s="2">
        <v>45483</v>
      </c>
      <c r="C280" s="1" t="s">
        <v>101</v>
      </c>
      <c r="D280" s="1" t="s">
        <v>1493</v>
      </c>
      <c r="E280" s="1" t="s">
        <v>60</v>
      </c>
      <c r="F280" s="1" t="s">
        <v>45</v>
      </c>
      <c r="G280" s="1">
        <v>2</v>
      </c>
      <c r="H280" s="1">
        <v>1617</v>
      </c>
      <c r="I280" s="1">
        <v>3234</v>
      </c>
      <c r="J280" s="1">
        <v>873.18000000000006</v>
      </c>
      <c r="K280" s="1">
        <v>0.27</v>
      </c>
      <c r="L280" s="1">
        <v>2360.8200000000002</v>
      </c>
      <c r="M280" s="1" t="s">
        <v>18</v>
      </c>
    </row>
    <row r="281" spans="1:13" x14ac:dyDescent="0.35">
      <c r="A281" s="1" t="s">
        <v>534</v>
      </c>
      <c r="B281" s="2">
        <v>45338</v>
      </c>
      <c r="C281" s="1" t="s">
        <v>89</v>
      </c>
      <c r="D281" s="1" t="s">
        <v>1490</v>
      </c>
      <c r="E281" s="1" t="s">
        <v>26</v>
      </c>
      <c r="F281" s="1" t="s">
        <v>17</v>
      </c>
      <c r="G281" s="1">
        <v>10</v>
      </c>
      <c r="H281" s="1">
        <v>904</v>
      </c>
      <c r="I281" s="1">
        <v>9040</v>
      </c>
      <c r="J281" s="1">
        <v>2621.6</v>
      </c>
      <c r="K281" s="1">
        <v>0.28999999999999998</v>
      </c>
      <c r="L281" s="1">
        <v>6418.4</v>
      </c>
      <c r="M281" s="1" t="s">
        <v>18</v>
      </c>
    </row>
    <row r="282" spans="1:13" x14ac:dyDescent="0.35">
      <c r="A282" s="1" t="s">
        <v>535</v>
      </c>
      <c r="B282" s="2">
        <v>44946</v>
      </c>
      <c r="C282" s="1" t="s">
        <v>382</v>
      </c>
      <c r="D282" s="1" t="s">
        <v>1490</v>
      </c>
      <c r="E282" s="1" t="s">
        <v>26</v>
      </c>
      <c r="F282" s="1" t="s">
        <v>17</v>
      </c>
      <c r="G282" s="1">
        <v>4</v>
      </c>
      <c r="H282" s="1">
        <v>3837</v>
      </c>
      <c r="I282" s="1">
        <v>15348</v>
      </c>
      <c r="J282" s="1">
        <v>1074.3600000000001</v>
      </c>
      <c r="K282" s="1">
        <v>7.0000000000000007E-2</v>
      </c>
      <c r="L282" s="1">
        <v>14273.64</v>
      </c>
      <c r="M282" s="1" t="s">
        <v>18</v>
      </c>
    </row>
    <row r="283" spans="1:13" x14ac:dyDescent="0.35">
      <c r="A283" s="1" t="s">
        <v>536</v>
      </c>
      <c r="B283" s="2">
        <v>45090</v>
      </c>
      <c r="C283" s="1" t="s">
        <v>206</v>
      </c>
      <c r="D283" s="1" t="s">
        <v>1493</v>
      </c>
      <c r="E283" s="1" t="s">
        <v>21</v>
      </c>
      <c r="F283" s="1" t="s">
        <v>22</v>
      </c>
      <c r="G283" s="1">
        <v>1</v>
      </c>
      <c r="H283" s="1">
        <v>3018</v>
      </c>
      <c r="I283" s="1">
        <v>3018</v>
      </c>
      <c r="J283" s="1">
        <v>120.72</v>
      </c>
      <c r="K283" s="1">
        <v>0.04</v>
      </c>
      <c r="L283" s="1">
        <v>2897.28</v>
      </c>
      <c r="M283" s="1" t="s">
        <v>18</v>
      </c>
    </row>
    <row r="284" spans="1:13" x14ac:dyDescent="0.35">
      <c r="A284" s="1" t="s">
        <v>537</v>
      </c>
      <c r="B284" s="2">
        <v>45061</v>
      </c>
      <c r="C284" s="1" t="s">
        <v>50</v>
      </c>
      <c r="D284" s="1" t="s">
        <v>1492</v>
      </c>
      <c r="E284" s="1" t="s">
        <v>57</v>
      </c>
      <c r="F284" s="1" t="s">
        <v>45</v>
      </c>
      <c r="G284" s="1">
        <v>5</v>
      </c>
      <c r="H284" s="1">
        <v>198</v>
      </c>
      <c r="I284" s="1">
        <v>990</v>
      </c>
      <c r="J284" s="1">
        <v>188.1</v>
      </c>
      <c r="K284" s="1">
        <v>0.19</v>
      </c>
      <c r="L284" s="1">
        <v>801.9</v>
      </c>
      <c r="M284" s="1" t="s">
        <v>18</v>
      </c>
    </row>
    <row r="285" spans="1:13" x14ac:dyDescent="0.35">
      <c r="A285" s="1" t="s">
        <v>538</v>
      </c>
      <c r="B285" s="2">
        <v>44935</v>
      </c>
      <c r="C285" s="1" t="s">
        <v>394</v>
      </c>
      <c r="D285" s="1" t="s">
        <v>1491</v>
      </c>
      <c r="E285" s="1" t="s">
        <v>21</v>
      </c>
      <c r="F285" s="1" t="s">
        <v>22</v>
      </c>
      <c r="G285" s="1">
        <v>7</v>
      </c>
      <c r="H285" s="1">
        <v>3870</v>
      </c>
      <c r="I285" s="1">
        <v>27090</v>
      </c>
      <c r="J285" s="1">
        <v>7856.0999999999995</v>
      </c>
      <c r="K285" s="1">
        <v>0.28999999999999998</v>
      </c>
      <c r="L285" s="1">
        <v>19233.900000000001</v>
      </c>
      <c r="M285" s="1" t="s">
        <v>18</v>
      </c>
    </row>
    <row r="286" spans="1:13" x14ac:dyDescent="0.35">
      <c r="A286" s="1" t="s">
        <v>539</v>
      </c>
      <c r="B286" s="2">
        <v>45279</v>
      </c>
      <c r="C286" s="1" t="s">
        <v>277</v>
      </c>
      <c r="D286" s="1" t="s">
        <v>1490</v>
      </c>
      <c r="E286" s="1" t="s">
        <v>57</v>
      </c>
      <c r="F286" s="1" t="s">
        <v>45</v>
      </c>
      <c r="G286" s="1">
        <v>4</v>
      </c>
      <c r="H286" s="1">
        <v>2610</v>
      </c>
      <c r="I286" s="1">
        <v>10440</v>
      </c>
      <c r="J286" s="1">
        <v>1252.8</v>
      </c>
      <c r="K286" s="1">
        <v>0.12</v>
      </c>
      <c r="L286" s="1">
        <v>9187.2000000000007</v>
      </c>
      <c r="M286" s="1" t="s">
        <v>18</v>
      </c>
    </row>
    <row r="287" spans="1:13" x14ac:dyDescent="0.35">
      <c r="A287" s="1" t="s">
        <v>540</v>
      </c>
      <c r="B287" s="2">
        <v>45317</v>
      </c>
      <c r="C287" s="1" t="s">
        <v>244</v>
      </c>
      <c r="D287" s="1" t="s">
        <v>1490</v>
      </c>
      <c r="E287" s="1" t="s">
        <v>21</v>
      </c>
      <c r="F287" s="1" t="s">
        <v>22</v>
      </c>
      <c r="G287" s="1">
        <v>5</v>
      </c>
      <c r="H287" s="1">
        <v>2485</v>
      </c>
      <c r="I287" s="1">
        <v>12425</v>
      </c>
      <c r="J287" s="1">
        <v>1988</v>
      </c>
      <c r="K287" s="1">
        <v>0.16</v>
      </c>
      <c r="L287" s="1">
        <v>10437</v>
      </c>
      <c r="M287" s="1" t="s">
        <v>18</v>
      </c>
    </row>
    <row r="288" spans="1:13" x14ac:dyDescent="0.35">
      <c r="A288" s="1" t="s">
        <v>541</v>
      </c>
      <c r="B288" s="2">
        <v>45557</v>
      </c>
      <c r="C288" s="1" t="s">
        <v>114</v>
      </c>
      <c r="D288" s="1" t="s">
        <v>1490</v>
      </c>
      <c r="E288" s="1" t="s">
        <v>26</v>
      </c>
      <c r="F288" s="1" t="s">
        <v>17</v>
      </c>
      <c r="G288" s="1">
        <v>10</v>
      </c>
      <c r="H288" s="1">
        <v>207</v>
      </c>
      <c r="I288" s="1">
        <v>2070</v>
      </c>
      <c r="J288" s="1">
        <v>269.10000000000002</v>
      </c>
      <c r="K288" s="1">
        <v>0.13</v>
      </c>
      <c r="L288" s="1">
        <v>1800.9</v>
      </c>
      <c r="M288" s="1" t="s">
        <v>18</v>
      </c>
    </row>
    <row r="289" spans="1:13" x14ac:dyDescent="0.35">
      <c r="A289" s="1" t="s">
        <v>542</v>
      </c>
      <c r="B289" s="2">
        <v>44942</v>
      </c>
      <c r="C289" s="1" t="s">
        <v>20</v>
      </c>
      <c r="D289" s="1" t="s">
        <v>1490</v>
      </c>
      <c r="E289" s="1" t="s">
        <v>48</v>
      </c>
      <c r="F289" s="1" t="s">
        <v>17</v>
      </c>
      <c r="G289" s="1">
        <v>3</v>
      </c>
      <c r="H289" s="1">
        <v>4055</v>
      </c>
      <c r="I289" s="1">
        <v>12165</v>
      </c>
      <c r="J289" s="1">
        <v>1338.15</v>
      </c>
      <c r="K289" s="1">
        <v>0.11</v>
      </c>
      <c r="L289" s="1">
        <v>10826.85</v>
      </c>
      <c r="M289" s="1" t="s">
        <v>18</v>
      </c>
    </row>
    <row r="290" spans="1:13" x14ac:dyDescent="0.35">
      <c r="A290" s="1" t="s">
        <v>543</v>
      </c>
      <c r="B290" s="2">
        <v>45567</v>
      </c>
      <c r="C290" s="1" t="s">
        <v>544</v>
      </c>
      <c r="D290" s="1" t="s">
        <v>1490</v>
      </c>
      <c r="E290" s="1" t="s">
        <v>21</v>
      </c>
      <c r="F290" s="1" t="s">
        <v>22</v>
      </c>
      <c r="G290" s="1">
        <v>1</v>
      </c>
      <c r="H290" s="1">
        <v>2149</v>
      </c>
      <c r="I290" s="1">
        <v>2149</v>
      </c>
      <c r="J290" s="1">
        <v>279.37</v>
      </c>
      <c r="K290" s="1">
        <v>0.13</v>
      </c>
      <c r="L290" s="1">
        <v>1869.63</v>
      </c>
      <c r="M290" s="1" t="s">
        <v>18</v>
      </c>
    </row>
    <row r="291" spans="1:13" x14ac:dyDescent="0.35">
      <c r="A291" s="1" t="s">
        <v>545</v>
      </c>
      <c r="B291" s="2">
        <v>45401</v>
      </c>
      <c r="C291" s="1" t="s">
        <v>212</v>
      </c>
      <c r="D291" s="1" t="s">
        <v>1491</v>
      </c>
      <c r="E291" s="1" t="s">
        <v>29</v>
      </c>
      <c r="F291" s="1" t="s">
        <v>22</v>
      </c>
      <c r="G291" s="1">
        <v>6</v>
      </c>
      <c r="H291" s="1">
        <v>1979</v>
      </c>
      <c r="I291" s="1">
        <v>11874</v>
      </c>
      <c r="J291" s="1">
        <v>1187.4000000000001</v>
      </c>
      <c r="K291" s="1">
        <v>0.1</v>
      </c>
      <c r="L291" s="1">
        <v>10686.6</v>
      </c>
      <c r="M291" s="1" t="s">
        <v>18</v>
      </c>
    </row>
    <row r="292" spans="1:13" x14ac:dyDescent="0.35">
      <c r="A292" s="1" t="s">
        <v>546</v>
      </c>
      <c r="B292" s="2">
        <v>45486</v>
      </c>
      <c r="C292" s="1" t="s">
        <v>511</v>
      </c>
      <c r="D292" s="1" t="s">
        <v>1490</v>
      </c>
      <c r="E292" s="1" t="s">
        <v>48</v>
      </c>
      <c r="F292" s="1" t="s">
        <v>17</v>
      </c>
      <c r="G292" s="1">
        <v>5</v>
      </c>
      <c r="H292" s="1">
        <v>2282</v>
      </c>
      <c r="I292" s="1">
        <v>11410</v>
      </c>
      <c r="J292" s="1">
        <v>456.40000000000003</v>
      </c>
      <c r="K292" s="1">
        <v>0.04</v>
      </c>
      <c r="L292" s="1">
        <v>10953.6</v>
      </c>
      <c r="M292" s="1" t="s">
        <v>18</v>
      </c>
    </row>
    <row r="293" spans="1:13" x14ac:dyDescent="0.35">
      <c r="A293" s="1" t="s">
        <v>547</v>
      </c>
      <c r="B293" s="2">
        <v>45079</v>
      </c>
      <c r="C293" s="1" t="s">
        <v>212</v>
      </c>
      <c r="D293" s="1" t="s">
        <v>1491</v>
      </c>
      <c r="E293" s="1" t="s">
        <v>189</v>
      </c>
      <c r="F293" s="1" t="s">
        <v>45</v>
      </c>
      <c r="G293" s="1">
        <v>1</v>
      </c>
      <c r="H293" s="1">
        <v>2251</v>
      </c>
      <c r="I293" s="1">
        <v>2251</v>
      </c>
      <c r="J293" s="1">
        <v>495.22</v>
      </c>
      <c r="K293" s="1">
        <v>0.22</v>
      </c>
      <c r="L293" s="1">
        <v>1755.78</v>
      </c>
      <c r="M293" s="1" t="s">
        <v>18</v>
      </c>
    </row>
    <row r="294" spans="1:13" x14ac:dyDescent="0.35">
      <c r="A294" s="1" t="s">
        <v>548</v>
      </c>
      <c r="B294" s="2">
        <v>45601</v>
      </c>
      <c r="C294" s="1" t="s">
        <v>549</v>
      </c>
      <c r="D294" s="1" t="s">
        <v>1490</v>
      </c>
      <c r="E294" s="1" t="s">
        <v>44</v>
      </c>
      <c r="F294" s="1" t="s">
        <v>45</v>
      </c>
      <c r="G294" s="1">
        <v>8</v>
      </c>
      <c r="H294" s="1">
        <v>2525</v>
      </c>
      <c r="I294" s="1">
        <v>20200</v>
      </c>
      <c r="J294" s="1">
        <v>3232</v>
      </c>
      <c r="K294" s="1">
        <v>0.16</v>
      </c>
      <c r="L294" s="1">
        <v>16968</v>
      </c>
      <c r="M294" s="1" t="s">
        <v>18</v>
      </c>
    </row>
    <row r="295" spans="1:13" x14ac:dyDescent="0.35">
      <c r="A295" s="1" t="s">
        <v>550</v>
      </c>
      <c r="B295" s="2">
        <v>45343</v>
      </c>
      <c r="C295" s="1" t="s">
        <v>334</v>
      </c>
      <c r="D295" s="1" t="s">
        <v>1490</v>
      </c>
      <c r="E295" s="1" t="s">
        <v>21</v>
      </c>
      <c r="F295" s="1" t="s">
        <v>22</v>
      </c>
      <c r="G295" s="1">
        <v>4</v>
      </c>
      <c r="H295" s="1">
        <v>4312</v>
      </c>
      <c r="I295" s="1">
        <v>17248</v>
      </c>
      <c r="J295" s="1">
        <v>2932.1600000000003</v>
      </c>
      <c r="K295" s="1">
        <v>0.17</v>
      </c>
      <c r="L295" s="1">
        <v>14315.84</v>
      </c>
      <c r="M295" s="1" t="s">
        <v>18</v>
      </c>
    </row>
    <row r="296" spans="1:13" x14ac:dyDescent="0.35">
      <c r="A296" s="1" t="s">
        <v>551</v>
      </c>
      <c r="B296" s="2">
        <v>45154</v>
      </c>
      <c r="C296" s="1" t="s">
        <v>552</v>
      </c>
      <c r="D296" s="1" t="s">
        <v>1492</v>
      </c>
      <c r="E296" s="1" t="s">
        <v>21</v>
      </c>
      <c r="F296" s="1" t="s">
        <v>22</v>
      </c>
      <c r="G296" s="1">
        <v>9</v>
      </c>
      <c r="H296" s="1">
        <v>2801</v>
      </c>
      <c r="I296" s="1">
        <v>25209</v>
      </c>
      <c r="J296" s="1">
        <v>3781.35</v>
      </c>
      <c r="K296" s="1">
        <v>0.15</v>
      </c>
      <c r="L296" s="1">
        <v>21427.65</v>
      </c>
      <c r="M296" s="1" t="s">
        <v>18</v>
      </c>
    </row>
    <row r="297" spans="1:13" x14ac:dyDescent="0.35">
      <c r="A297" s="1" t="s">
        <v>553</v>
      </c>
      <c r="B297" s="2">
        <v>45638</v>
      </c>
      <c r="C297" s="1" t="s">
        <v>216</v>
      </c>
      <c r="D297" s="1" t="s">
        <v>1493</v>
      </c>
      <c r="E297" s="1" t="s">
        <v>29</v>
      </c>
      <c r="F297" s="1" t="s">
        <v>22</v>
      </c>
      <c r="G297" s="1">
        <v>3</v>
      </c>
      <c r="H297" s="1">
        <v>3366</v>
      </c>
      <c r="I297" s="1">
        <v>10098</v>
      </c>
      <c r="J297" s="1">
        <v>1413.72</v>
      </c>
      <c r="K297" s="1">
        <v>0.14000000000000001</v>
      </c>
      <c r="L297" s="1">
        <v>8684.2800000000007</v>
      </c>
      <c r="M297" s="1" t="s">
        <v>18</v>
      </c>
    </row>
    <row r="298" spans="1:13" x14ac:dyDescent="0.35">
      <c r="A298" s="1" t="s">
        <v>554</v>
      </c>
      <c r="B298" s="2">
        <v>45240</v>
      </c>
      <c r="C298" s="1" t="s">
        <v>555</v>
      </c>
      <c r="D298" s="1" t="s">
        <v>1490</v>
      </c>
      <c r="E298" s="1" t="s">
        <v>21</v>
      </c>
      <c r="F298" s="1" t="s">
        <v>22</v>
      </c>
      <c r="G298" s="1">
        <v>5</v>
      </c>
      <c r="H298" s="1">
        <v>781</v>
      </c>
      <c r="I298" s="1">
        <v>3905</v>
      </c>
      <c r="J298" s="1">
        <v>702.9</v>
      </c>
      <c r="K298" s="1">
        <v>0.18</v>
      </c>
      <c r="L298" s="1">
        <v>3202.1</v>
      </c>
      <c r="M298" s="1" t="s">
        <v>18</v>
      </c>
    </row>
    <row r="299" spans="1:13" x14ac:dyDescent="0.35">
      <c r="A299" s="1" t="s">
        <v>556</v>
      </c>
      <c r="B299" s="2">
        <v>45543</v>
      </c>
      <c r="C299" s="1" t="s">
        <v>20</v>
      </c>
      <c r="D299" s="1" t="s">
        <v>1490</v>
      </c>
      <c r="E299" s="1" t="s">
        <v>39</v>
      </c>
      <c r="F299" s="1" t="s">
        <v>22</v>
      </c>
      <c r="G299" s="1">
        <v>10</v>
      </c>
      <c r="H299" s="1">
        <v>3816</v>
      </c>
      <c r="I299" s="1">
        <v>38160</v>
      </c>
      <c r="J299" s="1">
        <v>2289.6</v>
      </c>
      <c r="K299" s="1">
        <v>0.06</v>
      </c>
      <c r="L299" s="1">
        <v>35870.400000000001</v>
      </c>
      <c r="M299" s="1" t="s">
        <v>18</v>
      </c>
    </row>
    <row r="300" spans="1:13" x14ac:dyDescent="0.35">
      <c r="A300" s="1" t="s">
        <v>557</v>
      </c>
      <c r="B300" s="2">
        <v>45565</v>
      </c>
      <c r="C300" s="1" t="s">
        <v>360</v>
      </c>
      <c r="D300" s="1" t="s">
        <v>1493</v>
      </c>
      <c r="E300" s="1" t="s">
        <v>32</v>
      </c>
      <c r="F300" s="1" t="s">
        <v>17</v>
      </c>
      <c r="G300" s="1">
        <v>1</v>
      </c>
      <c r="H300" s="1">
        <v>1533</v>
      </c>
      <c r="I300" s="1">
        <v>1533</v>
      </c>
      <c r="J300" s="1">
        <v>30.66</v>
      </c>
      <c r="K300" s="1">
        <v>0.02</v>
      </c>
      <c r="L300" s="1">
        <v>1502.34</v>
      </c>
      <c r="M300" s="1" t="s">
        <v>18</v>
      </c>
    </row>
    <row r="301" spans="1:13" x14ac:dyDescent="0.35">
      <c r="A301" s="1" t="s">
        <v>558</v>
      </c>
      <c r="B301" s="2">
        <v>45085</v>
      </c>
      <c r="C301" s="1" t="s">
        <v>400</v>
      </c>
      <c r="D301" s="1" t="s">
        <v>1493</v>
      </c>
      <c r="E301" s="1" t="s">
        <v>189</v>
      </c>
      <c r="F301" s="1" t="s">
        <v>45</v>
      </c>
      <c r="G301" s="1">
        <v>2</v>
      </c>
      <c r="H301" s="1">
        <v>719</v>
      </c>
      <c r="I301" s="1">
        <v>1438</v>
      </c>
      <c r="J301" s="1">
        <v>388.26000000000005</v>
      </c>
      <c r="K301" s="1">
        <v>0.27</v>
      </c>
      <c r="L301" s="1">
        <v>1049.74</v>
      </c>
      <c r="M301" s="1" t="s">
        <v>18</v>
      </c>
    </row>
    <row r="302" spans="1:13" x14ac:dyDescent="0.35">
      <c r="A302" s="1" t="s">
        <v>559</v>
      </c>
      <c r="B302" s="2">
        <v>45267</v>
      </c>
      <c r="C302" s="1" t="s">
        <v>223</v>
      </c>
      <c r="D302" s="1" t="s">
        <v>1492</v>
      </c>
      <c r="E302" s="1" t="s">
        <v>32</v>
      </c>
      <c r="F302" s="1" t="s">
        <v>17</v>
      </c>
      <c r="G302" s="1">
        <v>8</v>
      </c>
      <c r="H302" s="1">
        <v>3398</v>
      </c>
      <c r="I302" s="1">
        <v>27184</v>
      </c>
      <c r="J302" s="1">
        <v>4621.2800000000007</v>
      </c>
      <c r="K302" s="1">
        <v>0.17</v>
      </c>
      <c r="L302" s="1">
        <v>22562.720000000001</v>
      </c>
      <c r="M302" s="1" t="s">
        <v>18</v>
      </c>
    </row>
    <row r="303" spans="1:13" x14ac:dyDescent="0.35">
      <c r="A303" s="1" t="s">
        <v>560</v>
      </c>
      <c r="B303" s="2">
        <v>45144</v>
      </c>
      <c r="C303" s="1" t="s">
        <v>262</v>
      </c>
      <c r="D303" s="1" t="s">
        <v>1490</v>
      </c>
      <c r="E303" s="1" t="s">
        <v>32</v>
      </c>
      <c r="F303" s="1" t="s">
        <v>17</v>
      </c>
      <c r="G303" s="1">
        <v>1</v>
      </c>
      <c r="H303" s="1">
        <v>3276</v>
      </c>
      <c r="I303" s="1">
        <v>3276</v>
      </c>
      <c r="J303" s="1">
        <v>687.95999999999992</v>
      </c>
      <c r="K303" s="1">
        <v>0.21</v>
      </c>
      <c r="L303" s="1">
        <v>2588.04</v>
      </c>
      <c r="M303" s="1" t="s">
        <v>18</v>
      </c>
    </row>
    <row r="304" spans="1:13" x14ac:dyDescent="0.35">
      <c r="A304" s="1" t="s">
        <v>561</v>
      </c>
      <c r="B304" s="2">
        <v>44982</v>
      </c>
      <c r="C304" s="1" t="s">
        <v>262</v>
      </c>
      <c r="D304" s="1" t="s">
        <v>1490</v>
      </c>
      <c r="E304" s="1" t="s">
        <v>16</v>
      </c>
      <c r="F304" s="1" t="s">
        <v>17</v>
      </c>
      <c r="G304" s="1">
        <v>3</v>
      </c>
      <c r="H304" s="1">
        <v>3129</v>
      </c>
      <c r="I304" s="1">
        <v>9387</v>
      </c>
      <c r="J304" s="1">
        <v>1971.27</v>
      </c>
      <c r="K304" s="1">
        <v>0.21</v>
      </c>
      <c r="L304" s="1">
        <v>7415.73</v>
      </c>
      <c r="M304" s="1" t="s">
        <v>18</v>
      </c>
    </row>
    <row r="305" spans="1:13" x14ac:dyDescent="0.35">
      <c r="A305" s="1" t="s">
        <v>562</v>
      </c>
      <c r="B305" s="2">
        <v>45271</v>
      </c>
      <c r="C305" s="1" t="s">
        <v>365</v>
      </c>
      <c r="D305" s="1" t="s">
        <v>1493</v>
      </c>
      <c r="E305" s="1" t="s">
        <v>29</v>
      </c>
      <c r="F305" s="1" t="s">
        <v>22</v>
      </c>
      <c r="G305" s="1">
        <v>7</v>
      </c>
      <c r="H305" s="1">
        <v>1268</v>
      </c>
      <c r="I305" s="1">
        <v>8876</v>
      </c>
      <c r="J305" s="1">
        <v>177.52</v>
      </c>
      <c r="K305" s="1">
        <v>0.02</v>
      </c>
      <c r="L305" s="1">
        <v>8698.48</v>
      </c>
      <c r="M305" s="1" t="s">
        <v>18</v>
      </c>
    </row>
    <row r="306" spans="1:13" x14ac:dyDescent="0.35">
      <c r="A306" s="1" t="s">
        <v>563</v>
      </c>
      <c r="B306" s="2">
        <v>45164</v>
      </c>
      <c r="C306" s="1" t="s">
        <v>564</v>
      </c>
      <c r="D306" s="1" t="s">
        <v>1491</v>
      </c>
      <c r="E306" s="1" t="s">
        <v>60</v>
      </c>
      <c r="F306" s="1" t="s">
        <v>45</v>
      </c>
      <c r="G306" s="1">
        <v>4</v>
      </c>
      <c r="H306" s="1">
        <v>3997</v>
      </c>
      <c r="I306" s="1">
        <v>15988</v>
      </c>
      <c r="J306" s="1">
        <v>1438.9199999999998</v>
      </c>
      <c r="K306" s="1">
        <v>0.09</v>
      </c>
      <c r="L306" s="1">
        <v>14549.08</v>
      </c>
      <c r="M306" s="1" t="s">
        <v>18</v>
      </c>
    </row>
    <row r="307" spans="1:13" x14ac:dyDescent="0.35">
      <c r="A307" s="1" t="s">
        <v>565</v>
      </c>
      <c r="B307" s="2">
        <v>45141</v>
      </c>
      <c r="C307" s="1" t="s">
        <v>518</v>
      </c>
      <c r="D307" s="1" t="s">
        <v>1492</v>
      </c>
      <c r="E307" s="1" t="s">
        <v>48</v>
      </c>
      <c r="F307" s="1" t="s">
        <v>17</v>
      </c>
      <c r="G307" s="1">
        <v>2</v>
      </c>
      <c r="H307" s="1">
        <v>872</v>
      </c>
      <c r="I307" s="1">
        <v>1744</v>
      </c>
      <c r="J307" s="1">
        <v>191.84</v>
      </c>
      <c r="K307" s="1">
        <v>0.11</v>
      </c>
      <c r="L307" s="1">
        <v>1552.16</v>
      </c>
      <c r="M307" s="1" t="s">
        <v>18</v>
      </c>
    </row>
    <row r="308" spans="1:13" x14ac:dyDescent="0.35">
      <c r="A308" s="1" t="s">
        <v>566</v>
      </c>
      <c r="B308" s="2">
        <v>45424</v>
      </c>
      <c r="C308" s="1" t="s">
        <v>306</v>
      </c>
      <c r="D308" s="1" t="s">
        <v>1493</v>
      </c>
      <c r="E308" s="1" t="s">
        <v>21</v>
      </c>
      <c r="F308" s="1" t="s">
        <v>22</v>
      </c>
      <c r="G308" s="1">
        <v>2</v>
      </c>
      <c r="H308" s="1">
        <v>2442</v>
      </c>
      <c r="I308" s="1">
        <v>4884</v>
      </c>
      <c r="J308" s="1">
        <v>1465.2</v>
      </c>
      <c r="K308" s="1">
        <v>0.3</v>
      </c>
      <c r="L308" s="1">
        <v>3418.8</v>
      </c>
      <c r="M308" s="1" t="s">
        <v>18</v>
      </c>
    </row>
    <row r="309" spans="1:13" x14ac:dyDescent="0.35">
      <c r="A309" s="1" t="s">
        <v>567</v>
      </c>
      <c r="B309" s="2">
        <v>44937</v>
      </c>
      <c r="C309" s="1" t="s">
        <v>564</v>
      </c>
      <c r="D309" s="1" t="s">
        <v>1491</v>
      </c>
      <c r="E309" s="1" t="s">
        <v>29</v>
      </c>
      <c r="F309" s="1" t="s">
        <v>22</v>
      </c>
      <c r="G309" s="1">
        <v>9</v>
      </c>
      <c r="H309" s="1">
        <v>4811</v>
      </c>
      <c r="I309" s="1">
        <v>43299</v>
      </c>
      <c r="J309" s="1">
        <v>9092.7899999999991</v>
      </c>
      <c r="K309" s="1">
        <v>0.21</v>
      </c>
      <c r="L309" s="1">
        <v>34206.21</v>
      </c>
      <c r="M309" s="1" t="s">
        <v>18</v>
      </c>
    </row>
    <row r="310" spans="1:13" x14ac:dyDescent="0.35">
      <c r="A310" s="1" t="s">
        <v>568</v>
      </c>
      <c r="B310" s="2">
        <v>45141</v>
      </c>
      <c r="C310" s="1" t="s">
        <v>363</v>
      </c>
      <c r="D310" s="1" t="s">
        <v>1492</v>
      </c>
      <c r="E310" s="1" t="s">
        <v>32</v>
      </c>
      <c r="F310" s="1" t="s">
        <v>17</v>
      </c>
      <c r="G310" s="1">
        <v>10</v>
      </c>
      <c r="H310" s="1">
        <v>3115</v>
      </c>
      <c r="I310" s="1">
        <v>31150</v>
      </c>
      <c r="J310" s="1">
        <v>4672.5</v>
      </c>
      <c r="K310" s="1">
        <v>0.15</v>
      </c>
      <c r="L310" s="1">
        <v>26477.5</v>
      </c>
      <c r="M310" s="1" t="s">
        <v>18</v>
      </c>
    </row>
    <row r="311" spans="1:13" x14ac:dyDescent="0.35">
      <c r="A311" s="1" t="s">
        <v>569</v>
      </c>
      <c r="B311" s="2">
        <v>45583</v>
      </c>
      <c r="C311" s="1" t="s">
        <v>570</v>
      </c>
      <c r="D311" s="1" t="s">
        <v>1493</v>
      </c>
      <c r="E311" s="1" t="s">
        <v>181</v>
      </c>
      <c r="F311" s="1" t="s">
        <v>22</v>
      </c>
      <c r="G311" s="1">
        <v>7</v>
      </c>
      <c r="H311" s="1">
        <v>3211</v>
      </c>
      <c r="I311" s="1">
        <v>22477</v>
      </c>
      <c r="J311" s="1">
        <v>3371.5499999999997</v>
      </c>
      <c r="K311" s="1">
        <v>0.15</v>
      </c>
      <c r="L311" s="1">
        <v>19105.45</v>
      </c>
      <c r="M311" s="1" t="s">
        <v>18</v>
      </c>
    </row>
    <row r="312" spans="1:13" x14ac:dyDescent="0.35">
      <c r="A312" s="1" t="s">
        <v>571</v>
      </c>
      <c r="B312" s="2">
        <v>45613</v>
      </c>
      <c r="C312" s="1" t="s">
        <v>572</v>
      </c>
      <c r="D312" s="1" t="s">
        <v>1491</v>
      </c>
      <c r="E312" s="1" t="s">
        <v>57</v>
      </c>
      <c r="F312" s="1" t="s">
        <v>45</v>
      </c>
      <c r="G312" s="1">
        <v>9</v>
      </c>
      <c r="H312" s="1">
        <v>2436</v>
      </c>
      <c r="I312" s="1">
        <v>21924</v>
      </c>
      <c r="J312" s="1">
        <v>5261.76</v>
      </c>
      <c r="K312" s="1">
        <v>0.24</v>
      </c>
      <c r="L312" s="1">
        <v>16662.240000000002</v>
      </c>
      <c r="M312" s="1" t="s">
        <v>18</v>
      </c>
    </row>
    <row r="313" spans="1:13" x14ac:dyDescent="0.35">
      <c r="A313" s="1" t="s">
        <v>573</v>
      </c>
      <c r="B313" s="2">
        <v>45591</v>
      </c>
      <c r="C313" s="1" t="s">
        <v>101</v>
      </c>
      <c r="D313" s="1" t="s">
        <v>1493</v>
      </c>
      <c r="E313" s="1" t="s">
        <v>16</v>
      </c>
      <c r="F313" s="1" t="s">
        <v>17</v>
      </c>
      <c r="G313" s="1">
        <v>10</v>
      </c>
      <c r="H313" s="1">
        <v>3234</v>
      </c>
      <c r="I313" s="1">
        <v>32340</v>
      </c>
      <c r="J313" s="1">
        <v>5174.4000000000005</v>
      </c>
      <c r="K313" s="1">
        <v>0.16</v>
      </c>
      <c r="L313" s="1">
        <v>27165.599999999999</v>
      </c>
      <c r="M313" s="1" t="s">
        <v>18</v>
      </c>
    </row>
    <row r="314" spans="1:13" x14ac:dyDescent="0.35">
      <c r="A314" s="1" t="s">
        <v>574</v>
      </c>
      <c r="B314" s="2">
        <v>45013</v>
      </c>
      <c r="C314" s="1" t="s">
        <v>241</v>
      </c>
      <c r="D314" s="1" t="s">
        <v>1492</v>
      </c>
      <c r="E314" s="1" t="s">
        <v>60</v>
      </c>
      <c r="F314" s="1" t="s">
        <v>45</v>
      </c>
      <c r="G314" s="1">
        <v>1</v>
      </c>
      <c r="H314" s="1">
        <v>846</v>
      </c>
      <c r="I314" s="1">
        <v>846</v>
      </c>
      <c r="J314" s="1">
        <v>33.840000000000003</v>
      </c>
      <c r="K314" s="1">
        <v>0.04</v>
      </c>
      <c r="L314" s="1">
        <v>812.16</v>
      </c>
      <c r="M314" s="1" t="s">
        <v>18</v>
      </c>
    </row>
    <row r="315" spans="1:13" x14ac:dyDescent="0.35">
      <c r="A315" s="1" t="s">
        <v>575</v>
      </c>
      <c r="B315" s="2">
        <v>45471</v>
      </c>
      <c r="C315" s="1" t="s">
        <v>576</v>
      </c>
      <c r="D315" s="1" t="s">
        <v>1490</v>
      </c>
      <c r="E315" s="1" t="s">
        <v>21</v>
      </c>
      <c r="F315" s="1" t="s">
        <v>22</v>
      </c>
      <c r="G315" s="1">
        <v>7</v>
      </c>
      <c r="H315" s="1">
        <v>2521</v>
      </c>
      <c r="I315" s="1">
        <v>17647</v>
      </c>
      <c r="J315" s="1">
        <v>3529.4</v>
      </c>
      <c r="K315" s="1">
        <v>0.2</v>
      </c>
      <c r="L315" s="1">
        <v>14117.6</v>
      </c>
      <c r="M315" s="1" t="s">
        <v>18</v>
      </c>
    </row>
    <row r="316" spans="1:13" x14ac:dyDescent="0.35">
      <c r="A316" s="1" t="s">
        <v>577</v>
      </c>
      <c r="B316" s="2">
        <v>45090</v>
      </c>
      <c r="C316" s="1" t="s">
        <v>578</v>
      </c>
      <c r="D316" s="1" t="s">
        <v>1490</v>
      </c>
      <c r="E316" s="1" t="s">
        <v>29</v>
      </c>
      <c r="F316" s="1" t="s">
        <v>22</v>
      </c>
      <c r="G316" s="1">
        <v>8</v>
      </c>
      <c r="H316" s="1">
        <v>1453</v>
      </c>
      <c r="I316" s="1">
        <v>11624</v>
      </c>
      <c r="J316" s="1">
        <v>232.48000000000002</v>
      </c>
      <c r="K316" s="1">
        <v>0.02</v>
      </c>
      <c r="L316" s="1">
        <v>11391.52</v>
      </c>
      <c r="M316" s="1" t="s">
        <v>18</v>
      </c>
    </row>
    <row r="317" spans="1:13" x14ac:dyDescent="0.35">
      <c r="A317" s="1" t="s">
        <v>579</v>
      </c>
      <c r="B317" s="2">
        <v>45608</v>
      </c>
      <c r="C317" s="1" t="s">
        <v>50</v>
      </c>
      <c r="D317" s="1" t="s">
        <v>1492</v>
      </c>
      <c r="E317" s="1" t="s">
        <v>21</v>
      </c>
      <c r="F317" s="1" t="s">
        <v>22</v>
      </c>
      <c r="G317" s="1">
        <v>8</v>
      </c>
      <c r="H317" s="1">
        <v>118</v>
      </c>
      <c r="I317" s="1">
        <v>944</v>
      </c>
      <c r="J317" s="1">
        <v>151.04</v>
      </c>
      <c r="K317" s="1">
        <v>0.16</v>
      </c>
      <c r="L317" s="1">
        <v>792.96</v>
      </c>
      <c r="M317" s="1" t="s">
        <v>18</v>
      </c>
    </row>
    <row r="318" spans="1:13" x14ac:dyDescent="0.35">
      <c r="A318" s="1" t="s">
        <v>580</v>
      </c>
      <c r="B318" s="2">
        <v>44939</v>
      </c>
      <c r="C318" s="1" t="s">
        <v>282</v>
      </c>
      <c r="D318" s="1" t="s">
        <v>1492</v>
      </c>
      <c r="E318" s="1" t="s">
        <v>26</v>
      </c>
      <c r="F318" s="1" t="s">
        <v>17</v>
      </c>
      <c r="G318" s="1">
        <v>4</v>
      </c>
      <c r="H318" s="1">
        <v>593</v>
      </c>
      <c r="I318" s="1">
        <v>2372</v>
      </c>
      <c r="J318" s="1">
        <v>664.16000000000008</v>
      </c>
      <c r="K318" s="1">
        <v>0.28000000000000003</v>
      </c>
      <c r="L318" s="1">
        <v>1707.84</v>
      </c>
      <c r="M318" s="1" t="s">
        <v>18</v>
      </c>
    </row>
    <row r="319" spans="1:13" x14ac:dyDescent="0.35">
      <c r="A319" s="1" t="s">
        <v>581</v>
      </c>
      <c r="B319" s="2">
        <v>45344</v>
      </c>
      <c r="C319" s="1" t="s">
        <v>582</v>
      </c>
      <c r="D319" s="1" t="s">
        <v>1490</v>
      </c>
      <c r="E319" s="1" t="s">
        <v>16</v>
      </c>
      <c r="F319" s="1" t="s">
        <v>17</v>
      </c>
      <c r="G319" s="1">
        <v>3</v>
      </c>
      <c r="H319" s="1">
        <v>2387</v>
      </c>
      <c r="I319" s="1">
        <v>7161</v>
      </c>
      <c r="J319" s="1">
        <v>1074.1499999999999</v>
      </c>
      <c r="K319" s="1">
        <v>0.15</v>
      </c>
      <c r="L319" s="1">
        <v>6086.85</v>
      </c>
      <c r="M319" s="1" t="s">
        <v>18</v>
      </c>
    </row>
    <row r="320" spans="1:13" x14ac:dyDescent="0.35">
      <c r="A320" s="1" t="s">
        <v>583</v>
      </c>
      <c r="B320" s="2">
        <v>45171</v>
      </c>
      <c r="C320" s="1" t="s">
        <v>487</v>
      </c>
      <c r="D320" s="1" t="s">
        <v>1493</v>
      </c>
      <c r="E320" s="1" t="s">
        <v>189</v>
      </c>
      <c r="F320" s="1" t="s">
        <v>45</v>
      </c>
      <c r="G320" s="1">
        <v>5</v>
      </c>
      <c r="H320" s="1">
        <v>514</v>
      </c>
      <c r="I320" s="1">
        <v>2570</v>
      </c>
      <c r="J320" s="1">
        <v>205.6</v>
      </c>
      <c r="K320" s="1">
        <v>0.08</v>
      </c>
      <c r="L320" s="1">
        <v>2364.4</v>
      </c>
      <c r="M320" s="1" t="s">
        <v>18</v>
      </c>
    </row>
    <row r="321" spans="1:13" x14ac:dyDescent="0.35">
      <c r="A321" s="1" t="s">
        <v>584</v>
      </c>
      <c r="B321" s="2">
        <v>45311</v>
      </c>
      <c r="C321" s="1" t="s">
        <v>191</v>
      </c>
      <c r="D321" s="1" t="s">
        <v>1492</v>
      </c>
      <c r="E321" s="1" t="s">
        <v>189</v>
      </c>
      <c r="F321" s="1" t="s">
        <v>45</v>
      </c>
      <c r="G321" s="1">
        <v>6</v>
      </c>
      <c r="H321" s="1">
        <v>2427</v>
      </c>
      <c r="I321" s="1">
        <v>14562</v>
      </c>
      <c r="J321" s="1">
        <v>1456.2</v>
      </c>
      <c r="K321" s="1">
        <v>0.1</v>
      </c>
      <c r="L321" s="1">
        <v>13105.8</v>
      </c>
      <c r="M321" s="1" t="s">
        <v>18</v>
      </c>
    </row>
    <row r="322" spans="1:13" x14ac:dyDescent="0.35">
      <c r="A322" s="1" t="s">
        <v>585</v>
      </c>
      <c r="B322" s="2">
        <v>45463</v>
      </c>
      <c r="C322" s="1" t="s">
        <v>317</v>
      </c>
      <c r="D322" s="1" t="s">
        <v>1490</v>
      </c>
      <c r="E322" s="1" t="s">
        <v>29</v>
      </c>
      <c r="F322" s="1" t="s">
        <v>22</v>
      </c>
      <c r="G322" s="1">
        <v>3</v>
      </c>
      <c r="H322" s="1">
        <v>4574</v>
      </c>
      <c r="I322" s="1">
        <v>13722</v>
      </c>
      <c r="J322" s="1">
        <v>1646.6399999999999</v>
      </c>
      <c r="K322" s="1">
        <v>0.12</v>
      </c>
      <c r="L322" s="1">
        <v>12075.36</v>
      </c>
      <c r="M322" s="1" t="s">
        <v>18</v>
      </c>
    </row>
    <row r="323" spans="1:13" x14ac:dyDescent="0.35">
      <c r="A323" s="1" t="s">
        <v>586</v>
      </c>
      <c r="B323" s="2">
        <v>45485</v>
      </c>
      <c r="C323" s="1" t="s">
        <v>223</v>
      </c>
      <c r="D323" s="1" t="s">
        <v>1492</v>
      </c>
      <c r="E323" s="1" t="s">
        <v>29</v>
      </c>
      <c r="F323" s="1" t="s">
        <v>22</v>
      </c>
      <c r="G323" s="1">
        <v>1</v>
      </c>
      <c r="H323" s="1">
        <v>1363</v>
      </c>
      <c r="I323" s="1">
        <v>1363</v>
      </c>
      <c r="J323" s="1">
        <v>163.56</v>
      </c>
      <c r="K323" s="1">
        <v>0.12</v>
      </c>
      <c r="L323" s="1">
        <v>1199.44</v>
      </c>
      <c r="M323" s="1" t="s">
        <v>18</v>
      </c>
    </row>
    <row r="324" spans="1:13" x14ac:dyDescent="0.35">
      <c r="A324" s="1" t="s">
        <v>587</v>
      </c>
      <c r="B324" s="2">
        <v>45399</v>
      </c>
      <c r="C324" s="1" t="s">
        <v>188</v>
      </c>
      <c r="D324" s="1" t="s">
        <v>1493</v>
      </c>
      <c r="E324" s="1" t="s">
        <v>29</v>
      </c>
      <c r="F324" s="1" t="s">
        <v>22</v>
      </c>
      <c r="G324" s="1">
        <v>6</v>
      </c>
      <c r="H324" s="1">
        <v>2301</v>
      </c>
      <c r="I324" s="1">
        <v>13806</v>
      </c>
      <c r="J324" s="1">
        <v>1656.72</v>
      </c>
      <c r="K324" s="1">
        <v>0.12</v>
      </c>
      <c r="L324" s="1">
        <v>12149.28</v>
      </c>
      <c r="M324" s="1" t="s">
        <v>18</v>
      </c>
    </row>
    <row r="325" spans="1:13" x14ac:dyDescent="0.35">
      <c r="A325" s="1" t="s">
        <v>588</v>
      </c>
      <c r="B325" s="2">
        <v>45126</v>
      </c>
      <c r="C325" s="1" t="s">
        <v>20</v>
      </c>
      <c r="D325" s="1" t="s">
        <v>1490</v>
      </c>
      <c r="E325" s="1" t="s">
        <v>21</v>
      </c>
      <c r="F325" s="1" t="s">
        <v>22</v>
      </c>
      <c r="G325" s="1">
        <v>5</v>
      </c>
      <c r="H325" s="1">
        <v>4547</v>
      </c>
      <c r="I325" s="1">
        <v>22735</v>
      </c>
      <c r="J325" s="1">
        <v>6365.8</v>
      </c>
      <c r="K325" s="1">
        <v>0.28000000000000003</v>
      </c>
      <c r="L325" s="1">
        <v>16369.2</v>
      </c>
      <c r="M325" s="1" t="s">
        <v>18</v>
      </c>
    </row>
    <row r="326" spans="1:13" x14ac:dyDescent="0.35">
      <c r="A326" s="1" t="s">
        <v>589</v>
      </c>
      <c r="B326" s="2">
        <v>45364</v>
      </c>
      <c r="C326" s="1" t="s">
        <v>116</v>
      </c>
      <c r="D326" s="1" t="s">
        <v>1490</v>
      </c>
      <c r="E326" s="1" t="s">
        <v>60</v>
      </c>
      <c r="F326" s="1" t="s">
        <v>45</v>
      </c>
      <c r="G326" s="1">
        <v>10</v>
      </c>
      <c r="H326" s="1">
        <v>1195</v>
      </c>
      <c r="I326" s="1">
        <v>11950</v>
      </c>
      <c r="J326" s="1">
        <v>2151</v>
      </c>
      <c r="K326" s="1">
        <v>0.18</v>
      </c>
      <c r="L326" s="1">
        <v>9799</v>
      </c>
      <c r="M326" s="1" t="s">
        <v>18</v>
      </c>
    </row>
    <row r="327" spans="1:13" x14ac:dyDescent="0.35">
      <c r="A327" s="1" t="s">
        <v>590</v>
      </c>
      <c r="B327" s="2">
        <v>45456</v>
      </c>
      <c r="C327" s="1" t="s">
        <v>136</v>
      </c>
      <c r="D327" s="1" t="s">
        <v>1490</v>
      </c>
      <c r="E327" s="1" t="s">
        <v>26</v>
      </c>
      <c r="F327" s="1" t="s">
        <v>17</v>
      </c>
      <c r="G327" s="1">
        <v>5</v>
      </c>
      <c r="H327" s="1">
        <v>3907</v>
      </c>
      <c r="I327" s="1">
        <v>19535</v>
      </c>
      <c r="J327" s="1">
        <v>2539.5500000000002</v>
      </c>
      <c r="K327" s="1">
        <v>0.13</v>
      </c>
      <c r="L327" s="1">
        <v>16995.45</v>
      </c>
      <c r="M327" s="1" t="s">
        <v>18</v>
      </c>
    </row>
    <row r="328" spans="1:13" x14ac:dyDescent="0.35">
      <c r="A328" s="1" t="s">
        <v>591</v>
      </c>
      <c r="B328" s="2">
        <v>45224</v>
      </c>
      <c r="C328" s="1" t="s">
        <v>380</v>
      </c>
      <c r="D328" s="1" t="s">
        <v>1493</v>
      </c>
      <c r="E328" s="1" t="s">
        <v>44</v>
      </c>
      <c r="F328" s="1" t="s">
        <v>45</v>
      </c>
      <c r="G328" s="1">
        <v>6</v>
      </c>
      <c r="H328" s="1">
        <v>4512</v>
      </c>
      <c r="I328" s="1">
        <v>27072</v>
      </c>
      <c r="J328" s="1">
        <v>2707.2000000000003</v>
      </c>
      <c r="K328" s="1">
        <v>0.1</v>
      </c>
      <c r="L328" s="1">
        <v>24364.799999999999</v>
      </c>
      <c r="M328" s="1" t="s">
        <v>18</v>
      </c>
    </row>
    <row r="329" spans="1:13" x14ac:dyDescent="0.35">
      <c r="A329" s="1" t="s">
        <v>592</v>
      </c>
      <c r="B329" s="2">
        <v>45069</v>
      </c>
      <c r="C329" s="1" t="s">
        <v>78</v>
      </c>
      <c r="D329" s="1" t="s">
        <v>1493</v>
      </c>
      <c r="E329" s="1" t="s">
        <v>16</v>
      </c>
      <c r="F329" s="1" t="s">
        <v>17</v>
      </c>
      <c r="G329" s="1">
        <v>1</v>
      </c>
      <c r="H329" s="1">
        <v>1577</v>
      </c>
      <c r="I329" s="1">
        <v>1577</v>
      </c>
      <c r="J329" s="1">
        <v>94.61999999999999</v>
      </c>
      <c r="K329" s="1">
        <v>0.06</v>
      </c>
      <c r="L329" s="1">
        <v>1482.38</v>
      </c>
      <c r="M329" s="1" t="s">
        <v>18</v>
      </c>
    </row>
    <row r="330" spans="1:13" x14ac:dyDescent="0.35">
      <c r="A330" s="1" t="s">
        <v>593</v>
      </c>
      <c r="B330" s="2">
        <v>45403</v>
      </c>
      <c r="C330" s="1" t="s">
        <v>429</v>
      </c>
      <c r="D330" s="1" t="s">
        <v>1491</v>
      </c>
      <c r="E330" s="1" t="s">
        <v>32</v>
      </c>
      <c r="F330" s="1" t="s">
        <v>17</v>
      </c>
      <c r="G330" s="1">
        <v>1</v>
      </c>
      <c r="H330" s="1">
        <v>2327</v>
      </c>
      <c r="I330" s="1">
        <v>2327</v>
      </c>
      <c r="J330" s="1">
        <v>511.94</v>
      </c>
      <c r="K330" s="1">
        <v>0.22</v>
      </c>
      <c r="L330" s="1">
        <v>1815.06</v>
      </c>
      <c r="M330" s="1" t="s">
        <v>18</v>
      </c>
    </row>
    <row r="331" spans="1:13" x14ac:dyDescent="0.35">
      <c r="A331" s="1" t="s">
        <v>594</v>
      </c>
      <c r="B331" s="2">
        <v>45089</v>
      </c>
      <c r="C331" s="1" t="s">
        <v>112</v>
      </c>
      <c r="D331" s="1" t="s">
        <v>1493</v>
      </c>
      <c r="E331" s="1" t="s">
        <v>57</v>
      </c>
      <c r="F331" s="1" t="s">
        <v>45</v>
      </c>
      <c r="G331" s="1">
        <v>7</v>
      </c>
      <c r="H331" s="1">
        <v>529</v>
      </c>
      <c r="I331" s="1">
        <v>3703</v>
      </c>
      <c r="J331" s="1">
        <v>851.69</v>
      </c>
      <c r="K331" s="1">
        <v>0.23</v>
      </c>
      <c r="L331" s="1">
        <v>2851.31</v>
      </c>
      <c r="M331" s="1" t="s">
        <v>18</v>
      </c>
    </row>
    <row r="332" spans="1:13" x14ac:dyDescent="0.35">
      <c r="A332" s="1" t="s">
        <v>595</v>
      </c>
      <c r="B332" s="2">
        <v>45515</v>
      </c>
      <c r="C332" s="1" t="s">
        <v>128</v>
      </c>
      <c r="D332" s="1" t="s">
        <v>1490</v>
      </c>
      <c r="E332" s="1" t="s">
        <v>44</v>
      </c>
      <c r="F332" s="1" t="s">
        <v>45</v>
      </c>
      <c r="G332" s="1">
        <v>1</v>
      </c>
      <c r="H332" s="1">
        <v>3410</v>
      </c>
      <c r="I332" s="1">
        <v>3410</v>
      </c>
      <c r="J332" s="1">
        <v>545.6</v>
      </c>
      <c r="K332" s="1">
        <v>0.16</v>
      </c>
      <c r="L332" s="1">
        <v>2864.4</v>
      </c>
      <c r="M332" s="1" t="s">
        <v>18</v>
      </c>
    </row>
    <row r="333" spans="1:13" x14ac:dyDescent="0.35">
      <c r="A333" s="1" t="s">
        <v>596</v>
      </c>
      <c r="B333" s="2">
        <v>45552</v>
      </c>
      <c r="C333" s="1" t="s">
        <v>597</v>
      </c>
      <c r="D333" s="1" t="s">
        <v>1492</v>
      </c>
      <c r="E333" s="1" t="s">
        <v>181</v>
      </c>
      <c r="F333" s="1" t="s">
        <v>22</v>
      </c>
      <c r="G333" s="1">
        <v>4</v>
      </c>
      <c r="H333" s="1">
        <v>696</v>
      </c>
      <c r="I333" s="1">
        <v>2784</v>
      </c>
      <c r="J333" s="1">
        <v>473.28000000000003</v>
      </c>
      <c r="K333" s="1">
        <v>0.17</v>
      </c>
      <c r="L333" s="1">
        <v>2310.7199999999998</v>
      </c>
      <c r="M333" s="1" t="s">
        <v>18</v>
      </c>
    </row>
    <row r="334" spans="1:13" x14ac:dyDescent="0.35">
      <c r="A334" s="1" t="s">
        <v>598</v>
      </c>
      <c r="B334" s="2">
        <v>45549</v>
      </c>
      <c r="C334" s="1" t="s">
        <v>43</v>
      </c>
      <c r="D334" s="1" t="s">
        <v>1490</v>
      </c>
      <c r="E334" s="1" t="s">
        <v>32</v>
      </c>
      <c r="F334" s="1" t="s">
        <v>17</v>
      </c>
      <c r="G334" s="1">
        <v>1</v>
      </c>
      <c r="H334" s="1">
        <v>313</v>
      </c>
      <c r="I334" s="1">
        <v>313</v>
      </c>
      <c r="J334" s="1">
        <v>34.43</v>
      </c>
      <c r="K334" s="1">
        <v>0.11</v>
      </c>
      <c r="L334" s="1">
        <v>278.57</v>
      </c>
      <c r="M334" s="1" t="s">
        <v>18</v>
      </c>
    </row>
    <row r="335" spans="1:13" x14ac:dyDescent="0.35">
      <c r="A335" s="1" t="s">
        <v>599</v>
      </c>
      <c r="B335" s="2">
        <v>45492</v>
      </c>
      <c r="C335" s="1" t="s">
        <v>597</v>
      </c>
      <c r="D335" s="1" t="s">
        <v>1492</v>
      </c>
      <c r="E335" s="1" t="s">
        <v>57</v>
      </c>
      <c r="F335" s="1" t="s">
        <v>45</v>
      </c>
      <c r="G335" s="1">
        <v>3</v>
      </c>
      <c r="H335" s="1">
        <v>3234</v>
      </c>
      <c r="I335" s="1">
        <v>9702</v>
      </c>
      <c r="J335" s="1">
        <v>2231.46</v>
      </c>
      <c r="K335" s="1">
        <v>0.23</v>
      </c>
      <c r="L335" s="1">
        <v>7470.54</v>
      </c>
      <c r="M335" s="1" t="s">
        <v>18</v>
      </c>
    </row>
    <row r="336" spans="1:13" x14ac:dyDescent="0.35">
      <c r="A336" s="1" t="s">
        <v>600</v>
      </c>
      <c r="B336" s="2">
        <v>45140</v>
      </c>
      <c r="C336" s="1" t="s">
        <v>453</v>
      </c>
      <c r="D336" s="1" t="s">
        <v>1490</v>
      </c>
      <c r="E336" s="1" t="s">
        <v>26</v>
      </c>
      <c r="F336" s="1" t="s">
        <v>17</v>
      </c>
      <c r="G336" s="1">
        <v>7</v>
      </c>
      <c r="H336" s="1">
        <v>1022</v>
      </c>
      <c r="I336" s="1">
        <v>7154</v>
      </c>
      <c r="J336" s="1">
        <v>1931.5800000000002</v>
      </c>
      <c r="K336" s="1">
        <v>0.27</v>
      </c>
      <c r="L336" s="1">
        <v>5222.42</v>
      </c>
      <c r="M336" s="1" t="s">
        <v>18</v>
      </c>
    </row>
    <row r="337" spans="1:13" x14ac:dyDescent="0.35">
      <c r="A337" s="1" t="s">
        <v>601</v>
      </c>
      <c r="B337" s="2">
        <v>45461</v>
      </c>
      <c r="C337" s="1" t="s">
        <v>59</v>
      </c>
      <c r="D337" s="1" t="s">
        <v>1492</v>
      </c>
      <c r="E337" s="1" t="s">
        <v>29</v>
      </c>
      <c r="F337" s="1" t="s">
        <v>22</v>
      </c>
      <c r="G337" s="1">
        <v>3</v>
      </c>
      <c r="H337" s="1">
        <v>3473</v>
      </c>
      <c r="I337" s="1">
        <v>10419</v>
      </c>
      <c r="J337" s="1">
        <v>833.52</v>
      </c>
      <c r="K337" s="1">
        <v>0.08</v>
      </c>
      <c r="L337" s="1">
        <v>9585.48</v>
      </c>
      <c r="M337" s="1" t="s">
        <v>18</v>
      </c>
    </row>
    <row r="338" spans="1:13" x14ac:dyDescent="0.35">
      <c r="A338" s="1" t="s">
        <v>602</v>
      </c>
      <c r="B338" s="2">
        <v>45191</v>
      </c>
      <c r="C338" s="1" t="s">
        <v>208</v>
      </c>
      <c r="D338" s="1" t="s">
        <v>1490</v>
      </c>
      <c r="E338" s="1" t="s">
        <v>189</v>
      </c>
      <c r="F338" s="1" t="s">
        <v>45</v>
      </c>
      <c r="G338" s="1">
        <v>8</v>
      </c>
      <c r="H338" s="1">
        <v>1325</v>
      </c>
      <c r="I338" s="1">
        <v>10600</v>
      </c>
      <c r="J338" s="1">
        <v>2862</v>
      </c>
      <c r="K338" s="1">
        <v>0.27</v>
      </c>
      <c r="L338" s="1">
        <v>7738</v>
      </c>
      <c r="M338" s="1" t="s">
        <v>18</v>
      </c>
    </row>
    <row r="339" spans="1:13" x14ac:dyDescent="0.35">
      <c r="A339" s="1" t="s">
        <v>603</v>
      </c>
      <c r="B339" s="2">
        <v>45353</v>
      </c>
      <c r="C339" s="1" t="s">
        <v>136</v>
      </c>
      <c r="D339" s="1" t="s">
        <v>1490</v>
      </c>
      <c r="E339" s="1" t="s">
        <v>57</v>
      </c>
      <c r="F339" s="1" t="s">
        <v>45</v>
      </c>
      <c r="G339" s="1">
        <v>2</v>
      </c>
      <c r="H339" s="1">
        <v>302</v>
      </c>
      <c r="I339" s="1">
        <v>604</v>
      </c>
      <c r="J339" s="1">
        <v>181.2</v>
      </c>
      <c r="K339" s="1">
        <v>0.3</v>
      </c>
      <c r="L339" s="1">
        <v>422.8</v>
      </c>
      <c r="M339" s="1" t="s">
        <v>18</v>
      </c>
    </row>
    <row r="340" spans="1:13" x14ac:dyDescent="0.35">
      <c r="A340" s="1" t="s">
        <v>604</v>
      </c>
      <c r="B340" s="2">
        <v>45155</v>
      </c>
      <c r="C340" s="1" t="s">
        <v>605</v>
      </c>
      <c r="D340" s="1" t="s">
        <v>1492</v>
      </c>
      <c r="E340" s="1" t="s">
        <v>39</v>
      </c>
      <c r="F340" s="1" t="s">
        <v>22</v>
      </c>
      <c r="G340" s="1">
        <v>2</v>
      </c>
      <c r="H340" s="1">
        <v>4606</v>
      </c>
      <c r="I340" s="1">
        <v>9212</v>
      </c>
      <c r="J340" s="1">
        <v>1750.28</v>
      </c>
      <c r="K340" s="1">
        <v>0.19</v>
      </c>
      <c r="L340" s="1">
        <v>7461.72</v>
      </c>
      <c r="M340" s="1" t="s">
        <v>18</v>
      </c>
    </row>
    <row r="341" spans="1:13" x14ac:dyDescent="0.35">
      <c r="A341" s="1" t="s">
        <v>606</v>
      </c>
      <c r="B341" s="2">
        <v>45110</v>
      </c>
      <c r="C341" s="1" t="s">
        <v>432</v>
      </c>
      <c r="D341" s="1" t="s">
        <v>1490</v>
      </c>
      <c r="E341" s="1" t="s">
        <v>21</v>
      </c>
      <c r="F341" s="1" t="s">
        <v>22</v>
      </c>
      <c r="G341" s="1">
        <v>4</v>
      </c>
      <c r="H341" s="1">
        <v>4122</v>
      </c>
      <c r="I341" s="1">
        <v>16488</v>
      </c>
      <c r="J341" s="1">
        <v>824.40000000000009</v>
      </c>
      <c r="K341" s="1">
        <v>0.05</v>
      </c>
      <c r="L341" s="1">
        <v>15663.6</v>
      </c>
      <c r="M341" s="1" t="s">
        <v>18</v>
      </c>
    </row>
    <row r="342" spans="1:13" x14ac:dyDescent="0.35">
      <c r="A342" s="1" t="s">
        <v>607</v>
      </c>
      <c r="B342" s="2">
        <v>45563</v>
      </c>
      <c r="C342" s="1" t="s">
        <v>608</v>
      </c>
      <c r="D342" s="1" t="s">
        <v>1493</v>
      </c>
      <c r="E342" s="1" t="s">
        <v>57</v>
      </c>
      <c r="F342" s="1" t="s">
        <v>45</v>
      </c>
      <c r="G342" s="1">
        <v>1</v>
      </c>
      <c r="H342" s="1">
        <v>1250</v>
      </c>
      <c r="I342" s="1">
        <v>1250</v>
      </c>
      <c r="J342" s="1">
        <v>50</v>
      </c>
      <c r="K342" s="1">
        <v>0.04</v>
      </c>
      <c r="L342" s="1">
        <v>1200</v>
      </c>
      <c r="M342" s="1" t="s">
        <v>18</v>
      </c>
    </row>
    <row r="343" spans="1:13" x14ac:dyDescent="0.35">
      <c r="A343" s="1" t="s">
        <v>609</v>
      </c>
      <c r="B343" s="2">
        <v>45089</v>
      </c>
      <c r="C343" s="1" t="s">
        <v>210</v>
      </c>
      <c r="D343" s="1" t="s">
        <v>1490</v>
      </c>
      <c r="E343" s="1" t="s">
        <v>181</v>
      </c>
      <c r="F343" s="1" t="s">
        <v>22</v>
      </c>
      <c r="G343" s="1">
        <v>10</v>
      </c>
      <c r="H343" s="1">
        <v>2265</v>
      </c>
      <c r="I343" s="1">
        <v>22650</v>
      </c>
      <c r="J343" s="1">
        <v>3850.5000000000005</v>
      </c>
      <c r="K343" s="1">
        <v>0.17</v>
      </c>
      <c r="L343" s="1">
        <v>18799.5</v>
      </c>
      <c r="M343" s="1" t="s">
        <v>18</v>
      </c>
    </row>
    <row r="344" spans="1:13" x14ac:dyDescent="0.35">
      <c r="A344" s="1" t="s">
        <v>610</v>
      </c>
      <c r="B344" s="2">
        <v>44959</v>
      </c>
      <c r="C344" s="1" t="s">
        <v>611</v>
      </c>
      <c r="D344" s="1" t="s">
        <v>1490</v>
      </c>
      <c r="E344" s="1" t="s">
        <v>32</v>
      </c>
      <c r="F344" s="1" t="s">
        <v>17</v>
      </c>
      <c r="G344" s="1">
        <v>2</v>
      </c>
      <c r="H344" s="1">
        <v>1558</v>
      </c>
      <c r="I344" s="1">
        <v>3116</v>
      </c>
      <c r="J344" s="1">
        <v>93.47999999999999</v>
      </c>
      <c r="K344" s="1">
        <v>0.03</v>
      </c>
      <c r="L344" s="1">
        <v>3022.52</v>
      </c>
      <c r="M344" s="1" t="s">
        <v>18</v>
      </c>
    </row>
    <row r="345" spans="1:13" x14ac:dyDescent="0.35">
      <c r="A345" s="1" t="s">
        <v>612</v>
      </c>
      <c r="B345" s="2">
        <v>45092</v>
      </c>
      <c r="C345" s="1" t="s">
        <v>120</v>
      </c>
      <c r="D345" s="1" t="s">
        <v>1490</v>
      </c>
      <c r="E345" s="1" t="s">
        <v>16</v>
      </c>
      <c r="F345" s="1" t="s">
        <v>17</v>
      </c>
      <c r="G345" s="1">
        <v>1</v>
      </c>
      <c r="H345" s="1">
        <v>2718</v>
      </c>
      <c r="I345" s="1">
        <v>2718</v>
      </c>
      <c r="J345" s="1">
        <v>733.86</v>
      </c>
      <c r="K345" s="1">
        <v>0.27</v>
      </c>
      <c r="L345" s="1">
        <v>1984.14</v>
      </c>
      <c r="M345" s="1" t="s">
        <v>18</v>
      </c>
    </row>
    <row r="346" spans="1:13" x14ac:dyDescent="0.35">
      <c r="A346" s="1" t="s">
        <v>613</v>
      </c>
      <c r="B346" s="2">
        <v>45492</v>
      </c>
      <c r="C346" s="1" t="s">
        <v>93</v>
      </c>
      <c r="D346" s="1" t="s">
        <v>1492</v>
      </c>
      <c r="E346" s="1" t="s">
        <v>57</v>
      </c>
      <c r="F346" s="1" t="s">
        <v>45</v>
      </c>
      <c r="G346" s="1">
        <v>7</v>
      </c>
      <c r="H346" s="1">
        <v>2612</v>
      </c>
      <c r="I346" s="1">
        <v>18284</v>
      </c>
      <c r="J346" s="1">
        <v>4753.84</v>
      </c>
      <c r="K346" s="1">
        <v>0.26</v>
      </c>
      <c r="L346" s="1">
        <v>13530.16</v>
      </c>
      <c r="M346" s="1" t="s">
        <v>18</v>
      </c>
    </row>
    <row r="347" spans="1:13" x14ac:dyDescent="0.35">
      <c r="A347" s="1" t="s">
        <v>614</v>
      </c>
      <c r="B347" s="2">
        <v>45477</v>
      </c>
      <c r="C347" s="1" t="s">
        <v>99</v>
      </c>
      <c r="D347" s="1" t="s">
        <v>1490</v>
      </c>
      <c r="E347" s="1" t="s">
        <v>189</v>
      </c>
      <c r="F347" s="1" t="s">
        <v>45</v>
      </c>
      <c r="G347" s="1">
        <v>9</v>
      </c>
      <c r="H347" s="1">
        <v>1794</v>
      </c>
      <c r="I347" s="1">
        <v>16146</v>
      </c>
      <c r="J347" s="1">
        <v>1453.1399999999999</v>
      </c>
      <c r="K347" s="1">
        <v>0.09</v>
      </c>
      <c r="L347" s="1">
        <v>14692.86</v>
      </c>
      <c r="M347" s="1" t="s">
        <v>18</v>
      </c>
    </row>
    <row r="348" spans="1:13" x14ac:dyDescent="0.35">
      <c r="A348" s="1" t="s">
        <v>615</v>
      </c>
      <c r="B348" s="2">
        <v>45044</v>
      </c>
      <c r="C348" s="1" t="s">
        <v>204</v>
      </c>
      <c r="D348" s="1" t="s">
        <v>1490</v>
      </c>
      <c r="E348" s="1" t="s">
        <v>29</v>
      </c>
      <c r="F348" s="1" t="s">
        <v>22</v>
      </c>
      <c r="G348" s="1">
        <v>2</v>
      </c>
      <c r="H348" s="1">
        <v>1221</v>
      </c>
      <c r="I348" s="1">
        <v>2442</v>
      </c>
      <c r="J348" s="1">
        <v>463.98</v>
      </c>
      <c r="K348" s="1">
        <v>0.19</v>
      </c>
      <c r="L348" s="1">
        <v>1978.02</v>
      </c>
      <c r="M348" s="1" t="s">
        <v>18</v>
      </c>
    </row>
    <row r="349" spans="1:13" x14ac:dyDescent="0.35">
      <c r="A349" s="1" t="s">
        <v>616</v>
      </c>
      <c r="B349" s="2">
        <v>44955</v>
      </c>
      <c r="C349" s="1" t="s">
        <v>617</v>
      </c>
      <c r="D349" s="1" t="s">
        <v>1491</v>
      </c>
      <c r="E349" s="1" t="s">
        <v>26</v>
      </c>
      <c r="F349" s="1" t="s">
        <v>17</v>
      </c>
      <c r="G349" s="1">
        <v>3</v>
      </c>
      <c r="H349" s="1">
        <v>997</v>
      </c>
      <c r="I349" s="1">
        <v>2991</v>
      </c>
      <c r="J349" s="1">
        <v>867.39</v>
      </c>
      <c r="K349" s="1">
        <v>0.28999999999999998</v>
      </c>
      <c r="L349" s="1">
        <v>2123.61</v>
      </c>
      <c r="M349" s="1" t="s">
        <v>18</v>
      </c>
    </row>
    <row r="350" spans="1:13" x14ac:dyDescent="0.35">
      <c r="A350" s="1" t="s">
        <v>618</v>
      </c>
      <c r="B350" s="2">
        <v>45291</v>
      </c>
      <c r="C350" s="1" t="s">
        <v>89</v>
      </c>
      <c r="D350" s="1" t="s">
        <v>1490</v>
      </c>
      <c r="E350" s="1" t="s">
        <v>29</v>
      </c>
      <c r="F350" s="1" t="s">
        <v>22</v>
      </c>
      <c r="G350" s="1">
        <v>4</v>
      </c>
      <c r="H350" s="1">
        <v>3532</v>
      </c>
      <c r="I350" s="1">
        <v>14128</v>
      </c>
      <c r="J350" s="1">
        <v>2543.04</v>
      </c>
      <c r="K350" s="1">
        <v>0.18</v>
      </c>
      <c r="L350" s="1">
        <v>11584.96</v>
      </c>
      <c r="M350" s="1" t="s">
        <v>18</v>
      </c>
    </row>
    <row r="351" spans="1:13" x14ac:dyDescent="0.35">
      <c r="A351" s="1" t="s">
        <v>619</v>
      </c>
      <c r="B351" s="2">
        <v>45241</v>
      </c>
      <c r="C351" s="1" t="s">
        <v>118</v>
      </c>
      <c r="D351" s="1" t="s">
        <v>1492</v>
      </c>
      <c r="E351" s="1" t="s">
        <v>60</v>
      </c>
      <c r="F351" s="1" t="s">
        <v>45</v>
      </c>
      <c r="G351" s="1">
        <v>9</v>
      </c>
      <c r="H351" s="1">
        <v>185</v>
      </c>
      <c r="I351" s="1">
        <v>1665</v>
      </c>
      <c r="J351" s="1">
        <v>16.649999999999999</v>
      </c>
      <c r="K351" s="1">
        <v>0.01</v>
      </c>
      <c r="L351" s="1">
        <v>1648.35</v>
      </c>
      <c r="M351" s="1" t="s">
        <v>18</v>
      </c>
    </row>
    <row r="352" spans="1:13" x14ac:dyDescent="0.35">
      <c r="A352" s="1" t="s">
        <v>620</v>
      </c>
      <c r="B352" s="2">
        <v>45178</v>
      </c>
      <c r="C352" s="1" t="s">
        <v>185</v>
      </c>
      <c r="D352" s="1" t="s">
        <v>1492</v>
      </c>
      <c r="E352" s="1" t="s">
        <v>48</v>
      </c>
      <c r="F352" s="1" t="s">
        <v>17</v>
      </c>
      <c r="G352" s="1">
        <v>10</v>
      </c>
      <c r="H352" s="1">
        <v>672</v>
      </c>
      <c r="I352" s="1">
        <v>6720</v>
      </c>
      <c r="J352" s="1">
        <v>2016</v>
      </c>
      <c r="K352" s="1">
        <v>0.3</v>
      </c>
      <c r="L352" s="1">
        <v>4704</v>
      </c>
      <c r="M352" s="1" t="s">
        <v>18</v>
      </c>
    </row>
    <row r="353" spans="1:13" x14ac:dyDescent="0.35">
      <c r="A353" s="1" t="s">
        <v>621</v>
      </c>
      <c r="B353" s="2">
        <v>45146</v>
      </c>
      <c r="C353" s="1" t="s">
        <v>112</v>
      </c>
      <c r="D353" s="1" t="s">
        <v>1493</v>
      </c>
      <c r="E353" s="1" t="s">
        <v>29</v>
      </c>
      <c r="F353" s="1" t="s">
        <v>22</v>
      </c>
      <c r="G353" s="1">
        <v>10</v>
      </c>
      <c r="H353" s="1">
        <v>4724</v>
      </c>
      <c r="I353" s="1">
        <v>47240</v>
      </c>
      <c r="J353" s="1">
        <v>4724</v>
      </c>
      <c r="K353" s="1">
        <v>0.1</v>
      </c>
      <c r="L353" s="1">
        <v>42516</v>
      </c>
      <c r="M353" s="1" t="s">
        <v>18</v>
      </c>
    </row>
    <row r="354" spans="1:13" x14ac:dyDescent="0.35">
      <c r="A354" s="1" t="s">
        <v>622</v>
      </c>
      <c r="B354" s="2">
        <v>45327</v>
      </c>
      <c r="C354" s="1" t="s">
        <v>294</v>
      </c>
      <c r="D354" s="1" t="s">
        <v>1490</v>
      </c>
      <c r="E354" s="1" t="s">
        <v>39</v>
      </c>
      <c r="F354" s="1" t="s">
        <v>22</v>
      </c>
      <c r="G354" s="1">
        <v>4</v>
      </c>
      <c r="H354" s="1">
        <v>4069</v>
      </c>
      <c r="I354" s="1">
        <v>16276</v>
      </c>
      <c r="J354" s="1">
        <v>4394.5200000000004</v>
      </c>
      <c r="K354" s="1">
        <v>0.27</v>
      </c>
      <c r="L354" s="1">
        <v>11881.48</v>
      </c>
      <c r="M354" s="1" t="s">
        <v>18</v>
      </c>
    </row>
    <row r="355" spans="1:13" x14ac:dyDescent="0.35">
      <c r="A355" s="1" t="s">
        <v>623</v>
      </c>
      <c r="B355" s="2">
        <v>45013</v>
      </c>
      <c r="C355" s="1" t="s">
        <v>624</v>
      </c>
      <c r="D355" s="1" t="s">
        <v>1492</v>
      </c>
      <c r="E355" s="1" t="s">
        <v>60</v>
      </c>
      <c r="F355" s="1" t="s">
        <v>45</v>
      </c>
      <c r="G355" s="1">
        <v>3</v>
      </c>
      <c r="H355" s="1">
        <v>4553</v>
      </c>
      <c r="I355" s="1">
        <v>13659</v>
      </c>
      <c r="J355" s="1">
        <v>1775.67</v>
      </c>
      <c r="K355" s="1">
        <v>0.13</v>
      </c>
      <c r="L355" s="1">
        <v>11883.33</v>
      </c>
      <c r="M355" s="1" t="s">
        <v>18</v>
      </c>
    </row>
    <row r="356" spans="1:13" x14ac:dyDescent="0.35">
      <c r="A356" s="1" t="s">
        <v>625</v>
      </c>
      <c r="B356" s="2">
        <v>45007</v>
      </c>
      <c r="C356" s="1" t="s">
        <v>427</v>
      </c>
      <c r="D356" s="1" t="s">
        <v>1491</v>
      </c>
      <c r="E356" s="1" t="s">
        <v>48</v>
      </c>
      <c r="F356" s="1" t="s">
        <v>17</v>
      </c>
      <c r="G356" s="1">
        <v>7</v>
      </c>
      <c r="H356" s="1">
        <v>633</v>
      </c>
      <c r="I356" s="1">
        <v>4431</v>
      </c>
      <c r="J356" s="1">
        <v>1240.68</v>
      </c>
      <c r="K356" s="1">
        <v>0.28000000000000003</v>
      </c>
      <c r="L356" s="1">
        <v>3190.32</v>
      </c>
      <c r="M356" s="1" t="s">
        <v>18</v>
      </c>
    </row>
    <row r="357" spans="1:13" x14ac:dyDescent="0.35">
      <c r="A357" s="1" t="s">
        <v>626</v>
      </c>
      <c r="B357" s="2">
        <v>45174</v>
      </c>
      <c r="C357" s="1" t="s">
        <v>140</v>
      </c>
      <c r="D357" s="1" t="s">
        <v>1490</v>
      </c>
      <c r="E357" s="1" t="s">
        <v>48</v>
      </c>
      <c r="F357" s="1" t="s">
        <v>17</v>
      </c>
      <c r="G357" s="1">
        <v>2</v>
      </c>
      <c r="H357" s="1">
        <v>521</v>
      </c>
      <c r="I357" s="1">
        <v>1042</v>
      </c>
      <c r="J357" s="1">
        <v>281.34000000000003</v>
      </c>
      <c r="K357" s="1">
        <v>0.27</v>
      </c>
      <c r="L357" s="1">
        <v>760.66</v>
      </c>
      <c r="M357" s="1" t="s">
        <v>18</v>
      </c>
    </row>
    <row r="358" spans="1:13" x14ac:dyDescent="0.35">
      <c r="A358" s="1" t="s">
        <v>627</v>
      </c>
      <c r="B358" s="2">
        <v>45525</v>
      </c>
      <c r="C358" s="1" t="s">
        <v>37</v>
      </c>
      <c r="D358" s="1" t="s">
        <v>1493</v>
      </c>
      <c r="E358" s="1" t="s">
        <v>44</v>
      </c>
      <c r="F358" s="1" t="s">
        <v>45</v>
      </c>
      <c r="G358" s="1">
        <v>2</v>
      </c>
      <c r="H358" s="1">
        <v>745</v>
      </c>
      <c r="I358" s="1">
        <v>1490</v>
      </c>
      <c r="J358" s="1">
        <v>149</v>
      </c>
      <c r="K358" s="1">
        <v>0.1</v>
      </c>
      <c r="L358" s="1">
        <v>1341</v>
      </c>
      <c r="M358" s="1" t="s">
        <v>18</v>
      </c>
    </row>
    <row r="359" spans="1:13" x14ac:dyDescent="0.35">
      <c r="A359" s="1" t="s">
        <v>628</v>
      </c>
      <c r="B359" s="2">
        <v>45038</v>
      </c>
      <c r="C359" s="1" t="s">
        <v>549</v>
      </c>
      <c r="D359" s="1" t="s">
        <v>1490</v>
      </c>
      <c r="E359" s="1" t="s">
        <v>26</v>
      </c>
      <c r="F359" s="1" t="s">
        <v>17</v>
      </c>
      <c r="G359" s="1">
        <v>5</v>
      </c>
      <c r="H359" s="1">
        <v>2962</v>
      </c>
      <c r="I359" s="1">
        <v>14810</v>
      </c>
      <c r="J359" s="1">
        <v>3850.6</v>
      </c>
      <c r="K359" s="1">
        <v>0.26</v>
      </c>
      <c r="L359" s="1">
        <v>10959.4</v>
      </c>
      <c r="M359" s="1" t="s">
        <v>18</v>
      </c>
    </row>
    <row r="360" spans="1:13" x14ac:dyDescent="0.35">
      <c r="A360" s="1" t="s">
        <v>629</v>
      </c>
      <c r="B360" s="2">
        <v>45341</v>
      </c>
      <c r="C360" s="1" t="s">
        <v>630</v>
      </c>
      <c r="D360" s="1" t="s">
        <v>1490</v>
      </c>
      <c r="E360" s="1" t="s">
        <v>16</v>
      </c>
      <c r="F360" s="1" t="s">
        <v>17</v>
      </c>
      <c r="G360" s="1">
        <v>8</v>
      </c>
      <c r="H360" s="1">
        <v>3627</v>
      </c>
      <c r="I360" s="1">
        <v>29016</v>
      </c>
      <c r="J360" s="1">
        <v>2901.6000000000004</v>
      </c>
      <c r="K360" s="1">
        <v>0.1</v>
      </c>
      <c r="L360" s="1">
        <v>26114.400000000001</v>
      </c>
      <c r="M360" s="1" t="s">
        <v>18</v>
      </c>
    </row>
    <row r="361" spans="1:13" x14ac:dyDescent="0.35">
      <c r="A361" s="1" t="s">
        <v>631</v>
      </c>
      <c r="B361" s="2">
        <v>45439</v>
      </c>
      <c r="C361" s="1" t="s">
        <v>112</v>
      </c>
      <c r="D361" s="1" t="s">
        <v>1493</v>
      </c>
      <c r="E361" s="1" t="s">
        <v>60</v>
      </c>
      <c r="F361" s="1" t="s">
        <v>45</v>
      </c>
      <c r="G361" s="1">
        <v>10</v>
      </c>
      <c r="H361" s="1">
        <v>2396</v>
      </c>
      <c r="I361" s="1">
        <v>23960</v>
      </c>
      <c r="J361" s="1">
        <v>6229.6</v>
      </c>
      <c r="K361" s="1">
        <v>0.26</v>
      </c>
      <c r="L361" s="1">
        <v>17730.400000000001</v>
      </c>
      <c r="M361" s="1" t="s">
        <v>18</v>
      </c>
    </row>
    <row r="362" spans="1:13" x14ac:dyDescent="0.35">
      <c r="A362" s="1" t="s">
        <v>632</v>
      </c>
      <c r="B362" s="2">
        <v>45449</v>
      </c>
      <c r="C362" s="1" t="s">
        <v>28</v>
      </c>
      <c r="D362" s="1" t="s">
        <v>1490</v>
      </c>
      <c r="E362" s="1" t="s">
        <v>189</v>
      </c>
      <c r="F362" s="1" t="s">
        <v>45</v>
      </c>
      <c r="G362" s="1">
        <v>6</v>
      </c>
      <c r="H362" s="1">
        <v>420</v>
      </c>
      <c r="I362" s="1">
        <v>2520</v>
      </c>
      <c r="J362" s="1">
        <v>0</v>
      </c>
      <c r="K362" s="1">
        <v>0</v>
      </c>
      <c r="L362" s="1">
        <v>2520</v>
      </c>
      <c r="M362" s="1" t="s">
        <v>18</v>
      </c>
    </row>
    <row r="363" spans="1:13" x14ac:dyDescent="0.35">
      <c r="A363" s="1" t="s">
        <v>633</v>
      </c>
      <c r="B363" s="2">
        <v>45268</v>
      </c>
      <c r="C363" s="1" t="s">
        <v>549</v>
      </c>
      <c r="D363" s="1" t="s">
        <v>1490</v>
      </c>
      <c r="E363" s="1" t="s">
        <v>189</v>
      </c>
      <c r="F363" s="1" t="s">
        <v>45</v>
      </c>
      <c r="G363" s="1">
        <v>7</v>
      </c>
      <c r="H363" s="1">
        <v>2323</v>
      </c>
      <c r="I363" s="1">
        <v>16261</v>
      </c>
      <c r="J363" s="1">
        <v>4553.0800000000008</v>
      </c>
      <c r="K363" s="1">
        <v>0.28000000000000003</v>
      </c>
      <c r="L363" s="1">
        <v>11707.92</v>
      </c>
      <c r="M363" s="1" t="s">
        <v>18</v>
      </c>
    </row>
    <row r="364" spans="1:13" x14ac:dyDescent="0.35">
      <c r="A364" s="1" t="s">
        <v>634</v>
      </c>
      <c r="B364" s="2">
        <v>45108</v>
      </c>
      <c r="C364" s="1" t="s">
        <v>582</v>
      </c>
      <c r="D364" s="1" t="s">
        <v>1490</v>
      </c>
      <c r="E364" s="1" t="s">
        <v>189</v>
      </c>
      <c r="F364" s="1" t="s">
        <v>45</v>
      </c>
      <c r="G364" s="1">
        <v>10</v>
      </c>
      <c r="H364" s="1">
        <v>156</v>
      </c>
      <c r="I364" s="1">
        <v>1560</v>
      </c>
      <c r="J364" s="1">
        <v>405.6</v>
      </c>
      <c r="K364" s="1">
        <v>0.26</v>
      </c>
      <c r="L364" s="1">
        <v>1154.4000000000001</v>
      </c>
      <c r="M364" s="1" t="s">
        <v>18</v>
      </c>
    </row>
    <row r="365" spans="1:13" x14ac:dyDescent="0.35">
      <c r="A365" s="1" t="s">
        <v>635</v>
      </c>
      <c r="B365" s="2">
        <v>45310</v>
      </c>
      <c r="C365" s="1" t="s">
        <v>178</v>
      </c>
      <c r="D365" s="1" t="s">
        <v>1490</v>
      </c>
      <c r="E365" s="1" t="s">
        <v>21</v>
      </c>
      <c r="F365" s="1" t="s">
        <v>22</v>
      </c>
      <c r="G365" s="1">
        <v>6</v>
      </c>
      <c r="H365" s="1">
        <v>1728</v>
      </c>
      <c r="I365" s="1">
        <v>10368</v>
      </c>
      <c r="J365" s="1">
        <v>1762.5600000000002</v>
      </c>
      <c r="K365" s="1">
        <v>0.17</v>
      </c>
      <c r="L365" s="1">
        <v>8605.44</v>
      </c>
      <c r="M365" s="1" t="s">
        <v>18</v>
      </c>
    </row>
    <row r="366" spans="1:13" x14ac:dyDescent="0.35">
      <c r="A366" s="1" t="s">
        <v>636</v>
      </c>
      <c r="B366" s="2">
        <v>45655</v>
      </c>
      <c r="C366" s="1" t="s">
        <v>152</v>
      </c>
      <c r="D366" s="1" t="s">
        <v>1493</v>
      </c>
      <c r="E366" s="1" t="s">
        <v>48</v>
      </c>
      <c r="F366" s="1" t="s">
        <v>17</v>
      </c>
      <c r="G366" s="1">
        <v>10</v>
      </c>
      <c r="H366" s="1">
        <v>4745</v>
      </c>
      <c r="I366" s="1">
        <v>47450</v>
      </c>
      <c r="J366" s="1">
        <v>11862.5</v>
      </c>
      <c r="K366" s="1">
        <v>0.25</v>
      </c>
      <c r="L366" s="1">
        <v>35587.5</v>
      </c>
      <c r="M366" s="1" t="s">
        <v>18</v>
      </c>
    </row>
    <row r="367" spans="1:13" x14ac:dyDescent="0.35">
      <c r="A367" s="1" t="s">
        <v>637</v>
      </c>
      <c r="B367" s="2">
        <v>45125</v>
      </c>
      <c r="C367" s="1" t="s">
        <v>638</v>
      </c>
      <c r="D367" s="1" t="s">
        <v>1492</v>
      </c>
      <c r="E367" s="1" t="s">
        <v>181</v>
      </c>
      <c r="F367" s="1" t="s">
        <v>22</v>
      </c>
      <c r="G367" s="1">
        <v>7</v>
      </c>
      <c r="H367" s="1">
        <v>1392</v>
      </c>
      <c r="I367" s="1">
        <v>9744</v>
      </c>
      <c r="J367" s="1">
        <v>487.20000000000005</v>
      </c>
      <c r="K367" s="1">
        <v>0.05</v>
      </c>
      <c r="L367" s="1">
        <v>9256.7999999999993</v>
      </c>
      <c r="M367" s="1" t="s">
        <v>18</v>
      </c>
    </row>
    <row r="368" spans="1:13" x14ac:dyDescent="0.35">
      <c r="A368" s="1" t="s">
        <v>639</v>
      </c>
      <c r="B368" s="2">
        <v>45448</v>
      </c>
      <c r="C368" s="1" t="s">
        <v>50</v>
      </c>
      <c r="D368" s="1" t="s">
        <v>1492</v>
      </c>
      <c r="E368" s="1" t="s">
        <v>57</v>
      </c>
      <c r="F368" s="1" t="s">
        <v>45</v>
      </c>
      <c r="G368" s="1">
        <v>8</v>
      </c>
      <c r="H368" s="1">
        <v>4350</v>
      </c>
      <c r="I368" s="1">
        <v>34800</v>
      </c>
      <c r="J368" s="1">
        <v>5916</v>
      </c>
      <c r="K368" s="1">
        <v>0.17</v>
      </c>
      <c r="L368" s="1">
        <v>28884</v>
      </c>
      <c r="M368" s="1" t="s">
        <v>18</v>
      </c>
    </row>
    <row r="369" spans="1:13" x14ac:dyDescent="0.35">
      <c r="A369" s="1" t="s">
        <v>640</v>
      </c>
      <c r="B369" s="2">
        <v>45559</v>
      </c>
      <c r="C369" s="1" t="s">
        <v>188</v>
      </c>
      <c r="D369" s="1" t="s">
        <v>1493</v>
      </c>
      <c r="E369" s="1" t="s">
        <v>44</v>
      </c>
      <c r="F369" s="1" t="s">
        <v>45</v>
      </c>
      <c r="G369" s="1">
        <v>1</v>
      </c>
      <c r="H369" s="1">
        <v>4702</v>
      </c>
      <c r="I369" s="1">
        <v>4702</v>
      </c>
      <c r="J369" s="1">
        <v>470.20000000000005</v>
      </c>
      <c r="K369" s="1">
        <v>0.1</v>
      </c>
      <c r="L369" s="1">
        <v>4231.8</v>
      </c>
      <c r="M369" s="1" t="s">
        <v>18</v>
      </c>
    </row>
    <row r="370" spans="1:13" x14ac:dyDescent="0.35">
      <c r="A370" s="1" t="s">
        <v>641</v>
      </c>
      <c r="B370" s="2">
        <v>45426</v>
      </c>
      <c r="C370" s="1" t="s">
        <v>642</v>
      </c>
      <c r="D370" s="1" t="s">
        <v>1493</v>
      </c>
      <c r="E370" s="1" t="s">
        <v>48</v>
      </c>
      <c r="F370" s="1" t="s">
        <v>17</v>
      </c>
      <c r="G370" s="1">
        <v>8</v>
      </c>
      <c r="H370" s="1">
        <v>3477</v>
      </c>
      <c r="I370" s="1">
        <v>27816</v>
      </c>
      <c r="J370" s="1">
        <v>1112.6400000000001</v>
      </c>
      <c r="K370" s="1">
        <v>0.04</v>
      </c>
      <c r="L370" s="1">
        <v>26703.360000000001</v>
      </c>
      <c r="M370" s="1" t="s">
        <v>18</v>
      </c>
    </row>
    <row r="371" spans="1:13" x14ac:dyDescent="0.35">
      <c r="A371" s="1" t="s">
        <v>643</v>
      </c>
      <c r="B371" s="2">
        <v>45290</v>
      </c>
      <c r="C371" s="1" t="s">
        <v>118</v>
      </c>
      <c r="D371" s="1" t="s">
        <v>1492</v>
      </c>
      <c r="E371" s="1" t="s">
        <v>57</v>
      </c>
      <c r="F371" s="1" t="s">
        <v>45</v>
      </c>
      <c r="G371" s="1">
        <v>9</v>
      </c>
      <c r="H371" s="1">
        <v>2197</v>
      </c>
      <c r="I371" s="1">
        <v>19773</v>
      </c>
      <c r="J371" s="1">
        <v>5536.4400000000005</v>
      </c>
      <c r="K371" s="1">
        <v>0.28000000000000003</v>
      </c>
      <c r="L371" s="1">
        <v>14236.56</v>
      </c>
      <c r="M371" s="1" t="s">
        <v>18</v>
      </c>
    </row>
    <row r="372" spans="1:13" x14ac:dyDescent="0.35">
      <c r="A372" s="1" t="s">
        <v>644</v>
      </c>
      <c r="B372" s="2">
        <v>45073</v>
      </c>
      <c r="C372" s="1" t="s">
        <v>175</v>
      </c>
      <c r="D372" s="1" t="s">
        <v>1491</v>
      </c>
      <c r="E372" s="1" t="s">
        <v>26</v>
      </c>
      <c r="F372" s="1" t="s">
        <v>17</v>
      </c>
      <c r="G372" s="1">
        <v>3</v>
      </c>
      <c r="H372" s="1">
        <v>1946</v>
      </c>
      <c r="I372" s="1">
        <v>5838</v>
      </c>
      <c r="J372" s="1">
        <v>408.66</v>
      </c>
      <c r="K372" s="1">
        <v>7.0000000000000007E-2</v>
      </c>
      <c r="L372" s="1">
        <v>5429.34</v>
      </c>
      <c r="M372" s="1" t="s">
        <v>18</v>
      </c>
    </row>
    <row r="373" spans="1:13" x14ac:dyDescent="0.35">
      <c r="A373" s="1" t="s">
        <v>645</v>
      </c>
      <c r="B373" s="2">
        <v>45122</v>
      </c>
      <c r="C373" s="1" t="s">
        <v>518</v>
      </c>
      <c r="D373" s="1" t="s">
        <v>1492</v>
      </c>
      <c r="E373" s="1" t="s">
        <v>181</v>
      </c>
      <c r="F373" s="1" t="s">
        <v>22</v>
      </c>
      <c r="G373" s="1">
        <v>3</v>
      </c>
      <c r="H373" s="1">
        <v>1160</v>
      </c>
      <c r="I373" s="1">
        <v>3480</v>
      </c>
      <c r="J373" s="1">
        <v>661.2</v>
      </c>
      <c r="K373" s="1">
        <v>0.19</v>
      </c>
      <c r="L373" s="1">
        <v>2818.8</v>
      </c>
      <c r="M373" s="1" t="s">
        <v>18</v>
      </c>
    </row>
    <row r="374" spans="1:13" x14ac:dyDescent="0.35">
      <c r="A374" s="1" t="s">
        <v>646</v>
      </c>
      <c r="B374" s="2">
        <v>45620</v>
      </c>
      <c r="C374" s="1" t="s">
        <v>31</v>
      </c>
      <c r="D374" s="1" t="s">
        <v>1492</v>
      </c>
      <c r="E374" s="1" t="s">
        <v>181</v>
      </c>
      <c r="F374" s="1" t="s">
        <v>22</v>
      </c>
      <c r="G374" s="1">
        <v>8</v>
      </c>
      <c r="H374" s="1">
        <v>1704</v>
      </c>
      <c r="I374" s="1">
        <v>13632</v>
      </c>
      <c r="J374" s="1">
        <v>3953.2799999999997</v>
      </c>
      <c r="K374" s="1">
        <v>0.28999999999999998</v>
      </c>
      <c r="L374" s="1">
        <v>9678.7199999999993</v>
      </c>
      <c r="M374" s="1" t="s">
        <v>18</v>
      </c>
    </row>
    <row r="375" spans="1:13" x14ac:dyDescent="0.35">
      <c r="A375" s="1" t="s">
        <v>647</v>
      </c>
      <c r="B375" s="2">
        <v>45084</v>
      </c>
      <c r="C375" s="1" t="s">
        <v>296</v>
      </c>
      <c r="D375" s="1" t="s">
        <v>1491</v>
      </c>
      <c r="E375" s="1" t="s">
        <v>39</v>
      </c>
      <c r="F375" s="1" t="s">
        <v>22</v>
      </c>
      <c r="G375" s="1">
        <v>7</v>
      </c>
      <c r="H375" s="1">
        <v>4872</v>
      </c>
      <c r="I375" s="1">
        <v>34104</v>
      </c>
      <c r="J375" s="1">
        <v>9890.16</v>
      </c>
      <c r="K375" s="1">
        <v>0.28999999999999998</v>
      </c>
      <c r="L375" s="1">
        <v>24213.84</v>
      </c>
      <c r="M375" s="1" t="s">
        <v>18</v>
      </c>
    </row>
    <row r="376" spans="1:13" x14ac:dyDescent="0.35">
      <c r="A376" s="1" t="s">
        <v>648</v>
      </c>
      <c r="B376" s="2">
        <v>45058</v>
      </c>
      <c r="C376" s="1" t="s">
        <v>630</v>
      </c>
      <c r="D376" s="1" t="s">
        <v>1490</v>
      </c>
      <c r="E376" s="1" t="s">
        <v>21</v>
      </c>
      <c r="F376" s="1" t="s">
        <v>22</v>
      </c>
      <c r="G376" s="1">
        <v>3</v>
      </c>
      <c r="H376" s="1">
        <v>2164</v>
      </c>
      <c r="I376" s="1">
        <v>6492</v>
      </c>
      <c r="J376" s="1">
        <v>1947.6</v>
      </c>
      <c r="K376" s="1">
        <v>0.3</v>
      </c>
      <c r="L376" s="1">
        <v>4544.3999999999996</v>
      </c>
      <c r="M376" s="1" t="s">
        <v>18</v>
      </c>
    </row>
    <row r="377" spans="1:13" x14ac:dyDescent="0.35">
      <c r="A377" s="1" t="s">
        <v>649</v>
      </c>
      <c r="B377" s="2">
        <v>45153</v>
      </c>
      <c r="C377" s="1" t="s">
        <v>31</v>
      </c>
      <c r="D377" s="1" t="s">
        <v>1492</v>
      </c>
      <c r="E377" s="1" t="s">
        <v>32</v>
      </c>
      <c r="F377" s="1" t="s">
        <v>17</v>
      </c>
      <c r="G377" s="1">
        <v>6</v>
      </c>
      <c r="H377" s="1">
        <v>2491</v>
      </c>
      <c r="I377" s="1">
        <v>14946</v>
      </c>
      <c r="J377" s="1">
        <v>2092.44</v>
      </c>
      <c r="K377" s="1">
        <v>0.14000000000000001</v>
      </c>
      <c r="L377" s="1">
        <v>12853.56</v>
      </c>
      <c r="M377" s="1" t="s">
        <v>18</v>
      </c>
    </row>
    <row r="378" spans="1:13" x14ac:dyDescent="0.35">
      <c r="A378" s="1" t="s">
        <v>650</v>
      </c>
      <c r="B378" s="2">
        <v>44971</v>
      </c>
      <c r="C378" s="1" t="s">
        <v>440</v>
      </c>
      <c r="D378" s="1" t="s">
        <v>1492</v>
      </c>
      <c r="E378" s="1" t="s">
        <v>16</v>
      </c>
      <c r="F378" s="1" t="s">
        <v>17</v>
      </c>
      <c r="G378" s="1">
        <v>7</v>
      </c>
      <c r="H378" s="1">
        <v>3783</v>
      </c>
      <c r="I378" s="1">
        <v>26481</v>
      </c>
      <c r="J378" s="1">
        <v>6090.63</v>
      </c>
      <c r="K378" s="1">
        <v>0.23</v>
      </c>
      <c r="L378" s="1">
        <v>20390.37</v>
      </c>
      <c r="M378" s="1" t="s">
        <v>18</v>
      </c>
    </row>
    <row r="379" spans="1:13" x14ac:dyDescent="0.35">
      <c r="A379" s="1" t="s">
        <v>651</v>
      </c>
      <c r="B379" s="2">
        <v>45570</v>
      </c>
      <c r="C379" s="1" t="s">
        <v>231</v>
      </c>
      <c r="D379" s="1" t="s">
        <v>1491</v>
      </c>
      <c r="E379" s="1" t="s">
        <v>16</v>
      </c>
      <c r="F379" s="1" t="s">
        <v>17</v>
      </c>
      <c r="G379" s="1">
        <v>8</v>
      </c>
      <c r="H379" s="1">
        <v>2488</v>
      </c>
      <c r="I379" s="1">
        <v>19904</v>
      </c>
      <c r="J379" s="1">
        <v>796.16</v>
      </c>
      <c r="K379" s="1">
        <v>0.04</v>
      </c>
      <c r="L379" s="1">
        <v>19107.84</v>
      </c>
      <c r="M379" s="1" t="s">
        <v>18</v>
      </c>
    </row>
    <row r="380" spans="1:13" x14ac:dyDescent="0.35">
      <c r="A380" s="1" t="s">
        <v>652</v>
      </c>
      <c r="B380" s="2">
        <v>45491</v>
      </c>
      <c r="C380" s="1" t="s">
        <v>653</v>
      </c>
      <c r="D380" s="1" t="s">
        <v>1491</v>
      </c>
      <c r="E380" s="1" t="s">
        <v>16</v>
      </c>
      <c r="F380" s="1" t="s">
        <v>17</v>
      </c>
      <c r="G380" s="1">
        <v>2</v>
      </c>
      <c r="H380" s="1">
        <v>2946</v>
      </c>
      <c r="I380" s="1">
        <v>5892</v>
      </c>
      <c r="J380" s="1">
        <v>1708.6799999999998</v>
      </c>
      <c r="K380" s="1">
        <v>0.28999999999999998</v>
      </c>
      <c r="L380" s="1">
        <v>4183.32</v>
      </c>
      <c r="M380" s="1" t="s">
        <v>18</v>
      </c>
    </row>
    <row r="381" spans="1:13" x14ac:dyDescent="0.35">
      <c r="A381" s="1" t="s">
        <v>654</v>
      </c>
      <c r="B381" s="2">
        <v>44938</v>
      </c>
      <c r="C381" s="1" t="s">
        <v>37</v>
      </c>
      <c r="D381" s="1" t="s">
        <v>1493</v>
      </c>
      <c r="E381" s="1" t="s">
        <v>181</v>
      </c>
      <c r="F381" s="1" t="s">
        <v>22</v>
      </c>
      <c r="G381" s="1">
        <v>3</v>
      </c>
      <c r="H381" s="1">
        <v>136</v>
      </c>
      <c r="I381" s="1">
        <v>408</v>
      </c>
      <c r="J381" s="1">
        <v>114.24000000000001</v>
      </c>
      <c r="K381" s="1">
        <v>0.28000000000000003</v>
      </c>
      <c r="L381" s="1">
        <v>293.76</v>
      </c>
      <c r="M381" s="1" t="s">
        <v>18</v>
      </c>
    </row>
    <row r="382" spans="1:13" x14ac:dyDescent="0.35">
      <c r="A382" s="1" t="s">
        <v>655</v>
      </c>
      <c r="B382" s="2">
        <v>45250</v>
      </c>
      <c r="C382" s="1" t="s">
        <v>225</v>
      </c>
      <c r="D382" s="1" t="s">
        <v>1490</v>
      </c>
      <c r="E382" s="1" t="s">
        <v>39</v>
      </c>
      <c r="F382" s="1" t="s">
        <v>22</v>
      </c>
      <c r="G382" s="1">
        <v>2</v>
      </c>
      <c r="H382" s="1">
        <v>3491</v>
      </c>
      <c r="I382" s="1">
        <v>6982</v>
      </c>
      <c r="J382" s="1">
        <v>1536.04</v>
      </c>
      <c r="K382" s="1">
        <v>0.22</v>
      </c>
      <c r="L382" s="1">
        <v>5445.96</v>
      </c>
      <c r="M382" s="1" t="s">
        <v>18</v>
      </c>
    </row>
    <row r="383" spans="1:13" x14ac:dyDescent="0.35">
      <c r="A383" s="1" t="s">
        <v>656</v>
      </c>
      <c r="B383" s="2">
        <v>45100</v>
      </c>
      <c r="C383" s="1" t="s">
        <v>43</v>
      </c>
      <c r="D383" s="1" t="s">
        <v>1490</v>
      </c>
      <c r="E383" s="1" t="s">
        <v>32</v>
      </c>
      <c r="F383" s="1" t="s">
        <v>17</v>
      </c>
      <c r="G383" s="1">
        <v>1</v>
      </c>
      <c r="H383" s="1">
        <v>4164</v>
      </c>
      <c r="I383" s="1">
        <v>4164</v>
      </c>
      <c r="J383" s="1">
        <v>541.32000000000005</v>
      </c>
      <c r="K383" s="1">
        <v>0.13</v>
      </c>
      <c r="L383" s="1">
        <v>3622.68</v>
      </c>
      <c r="M383" s="1" t="s">
        <v>18</v>
      </c>
    </row>
    <row r="384" spans="1:13" x14ac:dyDescent="0.35">
      <c r="A384" s="1" t="s">
        <v>657</v>
      </c>
      <c r="B384" s="2">
        <v>44988</v>
      </c>
      <c r="C384" s="1" t="s">
        <v>658</v>
      </c>
      <c r="D384" s="1" t="s">
        <v>1492</v>
      </c>
      <c r="E384" s="1" t="s">
        <v>29</v>
      </c>
      <c r="F384" s="1" t="s">
        <v>22</v>
      </c>
      <c r="G384" s="1">
        <v>5</v>
      </c>
      <c r="H384" s="1">
        <v>559</v>
      </c>
      <c r="I384" s="1">
        <v>2795</v>
      </c>
      <c r="J384" s="1">
        <v>698.75</v>
      </c>
      <c r="K384" s="1">
        <v>0.25</v>
      </c>
      <c r="L384" s="1">
        <v>2096.25</v>
      </c>
      <c r="M384" s="1" t="s">
        <v>18</v>
      </c>
    </row>
    <row r="385" spans="1:13" x14ac:dyDescent="0.35">
      <c r="A385" s="1" t="s">
        <v>659</v>
      </c>
      <c r="B385" s="2">
        <v>45578</v>
      </c>
      <c r="C385" s="1" t="s">
        <v>227</v>
      </c>
      <c r="D385" s="1" t="s">
        <v>1491</v>
      </c>
      <c r="E385" s="1" t="s">
        <v>60</v>
      </c>
      <c r="F385" s="1" t="s">
        <v>45</v>
      </c>
      <c r="G385" s="1">
        <v>4</v>
      </c>
      <c r="H385" s="1">
        <v>3208</v>
      </c>
      <c r="I385" s="1">
        <v>12832</v>
      </c>
      <c r="J385" s="1">
        <v>898.24000000000012</v>
      </c>
      <c r="K385" s="1">
        <v>7.0000000000000007E-2</v>
      </c>
      <c r="L385" s="1">
        <v>11933.76</v>
      </c>
      <c r="M385" s="1" t="s">
        <v>18</v>
      </c>
    </row>
    <row r="386" spans="1:13" x14ac:dyDescent="0.35">
      <c r="A386" s="1" t="s">
        <v>660</v>
      </c>
      <c r="B386" s="2">
        <v>45323</v>
      </c>
      <c r="C386" s="1" t="s">
        <v>172</v>
      </c>
      <c r="D386" s="1" t="s">
        <v>1493</v>
      </c>
      <c r="E386" s="1" t="s">
        <v>189</v>
      </c>
      <c r="F386" s="1" t="s">
        <v>45</v>
      </c>
      <c r="G386" s="1">
        <v>8</v>
      </c>
      <c r="H386" s="1">
        <v>3871</v>
      </c>
      <c r="I386" s="1">
        <v>30968</v>
      </c>
      <c r="J386" s="1">
        <v>6503.28</v>
      </c>
      <c r="K386" s="1">
        <v>0.21</v>
      </c>
      <c r="L386" s="1">
        <v>24464.720000000001</v>
      </c>
      <c r="M386" s="1" t="s">
        <v>18</v>
      </c>
    </row>
    <row r="387" spans="1:13" x14ac:dyDescent="0.35">
      <c r="A387" s="1" t="s">
        <v>661</v>
      </c>
      <c r="B387" s="2">
        <v>45192</v>
      </c>
      <c r="C387" s="1" t="s">
        <v>662</v>
      </c>
      <c r="D387" s="1" t="s">
        <v>1493</v>
      </c>
      <c r="E387" s="1" t="s">
        <v>44</v>
      </c>
      <c r="F387" s="1" t="s">
        <v>45</v>
      </c>
      <c r="G387" s="1">
        <v>4</v>
      </c>
      <c r="H387" s="1">
        <v>2960</v>
      </c>
      <c r="I387" s="1">
        <v>11840</v>
      </c>
      <c r="J387" s="1">
        <v>1302.4000000000001</v>
      </c>
      <c r="K387" s="1">
        <v>0.11</v>
      </c>
      <c r="L387" s="1">
        <v>10537.6</v>
      </c>
      <c r="M387" s="1" t="s">
        <v>18</v>
      </c>
    </row>
    <row r="388" spans="1:13" x14ac:dyDescent="0.35">
      <c r="A388" s="1" t="s">
        <v>663</v>
      </c>
      <c r="B388" s="2">
        <v>45002</v>
      </c>
      <c r="C388" s="1" t="s">
        <v>180</v>
      </c>
      <c r="D388" s="1" t="s">
        <v>1490</v>
      </c>
      <c r="E388" s="1" t="s">
        <v>60</v>
      </c>
      <c r="F388" s="1" t="s">
        <v>45</v>
      </c>
      <c r="G388" s="1">
        <v>9</v>
      </c>
      <c r="H388" s="1">
        <v>2516</v>
      </c>
      <c r="I388" s="1">
        <v>22644</v>
      </c>
      <c r="J388" s="1">
        <v>452.88</v>
      </c>
      <c r="K388" s="1">
        <v>0.02</v>
      </c>
      <c r="L388" s="1">
        <v>22191.119999999999</v>
      </c>
      <c r="M388" s="1" t="s">
        <v>18</v>
      </c>
    </row>
    <row r="389" spans="1:13" x14ac:dyDescent="0.35">
      <c r="A389" s="1" t="s">
        <v>664</v>
      </c>
      <c r="B389" s="2">
        <v>45271</v>
      </c>
      <c r="C389" s="1" t="s">
        <v>175</v>
      </c>
      <c r="D389" s="1" t="s">
        <v>1491</v>
      </c>
      <c r="E389" s="1" t="s">
        <v>39</v>
      </c>
      <c r="F389" s="1" t="s">
        <v>22</v>
      </c>
      <c r="G389" s="1">
        <v>6</v>
      </c>
      <c r="H389" s="1">
        <v>1241</v>
      </c>
      <c r="I389" s="1">
        <v>7446</v>
      </c>
      <c r="J389" s="1">
        <v>1116.8999999999999</v>
      </c>
      <c r="K389" s="1">
        <v>0.15</v>
      </c>
      <c r="L389" s="1">
        <v>6329.1</v>
      </c>
      <c r="M389" s="1" t="s">
        <v>18</v>
      </c>
    </row>
    <row r="390" spans="1:13" x14ac:dyDescent="0.35">
      <c r="A390" s="1" t="s">
        <v>665</v>
      </c>
      <c r="B390" s="2">
        <v>45286</v>
      </c>
      <c r="C390" s="1" t="s">
        <v>218</v>
      </c>
      <c r="D390" s="1" t="s">
        <v>1491</v>
      </c>
      <c r="E390" s="1" t="s">
        <v>44</v>
      </c>
      <c r="F390" s="1" t="s">
        <v>45</v>
      </c>
      <c r="G390" s="1">
        <v>1</v>
      </c>
      <c r="H390" s="1">
        <v>4348</v>
      </c>
      <c r="I390" s="1">
        <v>4348</v>
      </c>
      <c r="J390" s="1">
        <v>391.32</v>
      </c>
      <c r="K390" s="1">
        <v>0.09</v>
      </c>
      <c r="L390" s="1">
        <v>3956.68</v>
      </c>
      <c r="M390" s="1" t="s">
        <v>18</v>
      </c>
    </row>
    <row r="391" spans="1:13" x14ac:dyDescent="0.35">
      <c r="A391" s="1" t="s">
        <v>666</v>
      </c>
      <c r="B391" s="2">
        <v>45092</v>
      </c>
      <c r="C391" s="1" t="s">
        <v>458</v>
      </c>
      <c r="D391" s="1" t="s">
        <v>1492</v>
      </c>
      <c r="E391" s="1" t="s">
        <v>60</v>
      </c>
      <c r="F391" s="1" t="s">
        <v>45</v>
      </c>
      <c r="G391" s="1">
        <v>10</v>
      </c>
      <c r="H391" s="1">
        <v>3553</v>
      </c>
      <c r="I391" s="1">
        <v>35530</v>
      </c>
      <c r="J391" s="1">
        <v>8527.1999999999989</v>
      </c>
      <c r="K391" s="1">
        <v>0.24</v>
      </c>
      <c r="L391" s="1">
        <v>27002.799999999999</v>
      </c>
      <c r="M391" s="1" t="s">
        <v>18</v>
      </c>
    </row>
    <row r="392" spans="1:13" x14ac:dyDescent="0.35">
      <c r="A392" s="1" t="s">
        <v>667</v>
      </c>
      <c r="B392" s="2">
        <v>45085</v>
      </c>
      <c r="C392" s="1" t="s">
        <v>183</v>
      </c>
      <c r="D392" s="1" t="s">
        <v>1490</v>
      </c>
      <c r="E392" s="1" t="s">
        <v>57</v>
      </c>
      <c r="F392" s="1" t="s">
        <v>45</v>
      </c>
      <c r="G392" s="1">
        <v>5</v>
      </c>
      <c r="H392" s="1">
        <v>1522</v>
      </c>
      <c r="I392" s="1">
        <v>7610</v>
      </c>
      <c r="J392" s="1">
        <v>1445.9</v>
      </c>
      <c r="K392" s="1">
        <v>0.19</v>
      </c>
      <c r="L392" s="1">
        <v>6164.1</v>
      </c>
      <c r="M392" s="1" t="s">
        <v>18</v>
      </c>
    </row>
    <row r="393" spans="1:13" x14ac:dyDescent="0.35">
      <c r="A393" s="1" t="s">
        <v>668</v>
      </c>
      <c r="B393" s="2">
        <v>45560</v>
      </c>
      <c r="C393" s="1" t="s">
        <v>638</v>
      </c>
      <c r="D393" s="1" t="s">
        <v>1492</v>
      </c>
      <c r="E393" s="1" t="s">
        <v>57</v>
      </c>
      <c r="F393" s="1" t="s">
        <v>45</v>
      </c>
      <c r="G393" s="1">
        <v>10</v>
      </c>
      <c r="H393" s="1">
        <v>3605</v>
      </c>
      <c r="I393" s="1">
        <v>36050</v>
      </c>
      <c r="J393" s="1">
        <v>6489</v>
      </c>
      <c r="K393" s="1">
        <v>0.18</v>
      </c>
      <c r="L393" s="1">
        <v>29561</v>
      </c>
      <c r="M393" s="1" t="s">
        <v>18</v>
      </c>
    </row>
    <row r="394" spans="1:13" x14ac:dyDescent="0.35">
      <c r="A394" s="1" t="s">
        <v>669</v>
      </c>
      <c r="B394" s="2">
        <v>45401</v>
      </c>
      <c r="C394" s="1" t="s">
        <v>662</v>
      </c>
      <c r="D394" s="1" t="s">
        <v>1493</v>
      </c>
      <c r="E394" s="1" t="s">
        <v>44</v>
      </c>
      <c r="F394" s="1" t="s">
        <v>45</v>
      </c>
      <c r="G394" s="1">
        <v>2</v>
      </c>
      <c r="H394" s="1">
        <v>1532</v>
      </c>
      <c r="I394" s="1">
        <v>3064</v>
      </c>
      <c r="J394" s="1">
        <v>91.92</v>
      </c>
      <c r="K394" s="1">
        <v>0.03</v>
      </c>
      <c r="L394" s="1">
        <v>2972.08</v>
      </c>
      <c r="M394" s="1" t="s">
        <v>18</v>
      </c>
    </row>
    <row r="395" spans="1:13" x14ac:dyDescent="0.35">
      <c r="A395" s="1" t="s">
        <v>670</v>
      </c>
      <c r="B395" s="2">
        <v>44987</v>
      </c>
      <c r="C395" s="1" t="s">
        <v>198</v>
      </c>
      <c r="D395" s="1" t="s">
        <v>1493</v>
      </c>
      <c r="E395" s="1" t="s">
        <v>57</v>
      </c>
      <c r="F395" s="1" t="s">
        <v>45</v>
      </c>
      <c r="G395" s="1">
        <v>10</v>
      </c>
      <c r="H395" s="1">
        <v>2448</v>
      </c>
      <c r="I395" s="1">
        <v>24480</v>
      </c>
      <c r="J395" s="1">
        <v>6854.4000000000005</v>
      </c>
      <c r="K395" s="1">
        <v>0.28000000000000003</v>
      </c>
      <c r="L395" s="1">
        <v>17625.599999999999</v>
      </c>
      <c r="M395" s="1" t="s">
        <v>18</v>
      </c>
    </row>
    <row r="396" spans="1:13" x14ac:dyDescent="0.35">
      <c r="A396" s="1" t="s">
        <v>671</v>
      </c>
      <c r="B396" s="2">
        <v>45548</v>
      </c>
      <c r="C396" s="1" t="s">
        <v>107</v>
      </c>
      <c r="D396" s="1" t="s">
        <v>1490</v>
      </c>
      <c r="E396" s="1" t="s">
        <v>48</v>
      </c>
      <c r="F396" s="1" t="s">
        <v>17</v>
      </c>
      <c r="G396" s="1">
        <v>8</v>
      </c>
      <c r="H396" s="1">
        <v>4630</v>
      </c>
      <c r="I396" s="1">
        <v>37040</v>
      </c>
      <c r="J396" s="1">
        <v>4444.8</v>
      </c>
      <c r="K396" s="1">
        <v>0.12</v>
      </c>
      <c r="L396" s="1">
        <v>32595.200000000001</v>
      </c>
      <c r="M396" s="1" t="s">
        <v>18</v>
      </c>
    </row>
    <row r="397" spans="1:13" x14ac:dyDescent="0.35">
      <c r="A397" s="1" t="s">
        <v>672</v>
      </c>
      <c r="B397" s="2">
        <v>45350</v>
      </c>
      <c r="C397" s="1" t="s">
        <v>97</v>
      </c>
      <c r="D397" s="1" t="s">
        <v>1491</v>
      </c>
      <c r="E397" s="1" t="s">
        <v>32</v>
      </c>
      <c r="F397" s="1" t="s">
        <v>17</v>
      </c>
      <c r="G397" s="1">
        <v>10</v>
      </c>
      <c r="H397" s="1">
        <v>1028</v>
      </c>
      <c r="I397" s="1">
        <v>10280</v>
      </c>
      <c r="J397" s="1">
        <v>1130.8</v>
      </c>
      <c r="K397" s="1">
        <v>0.11</v>
      </c>
      <c r="L397" s="1">
        <v>9149.2000000000007</v>
      </c>
      <c r="M397" s="1" t="s">
        <v>18</v>
      </c>
    </row>
    <row r="398" spans="1:13" x14ac:dyDescent="0.35">
      <c r="A398" s="1" t="s">
        <v>673</v>
      </c>
      <c r="B398" s="2">
        <v>45029</v>
      </c>
      <c r="C398" s="1" t="s">
        <v>471</v>
      </c>
      <c r="D398" s="1" t="s">
        <v>1492</v>
      </c>
      <c r="E398" s="1" t="s">
        <v>48</v>
      </c>
      <c r="F398" s="1" t="s">
        <v>17</v>
      </c>
      <c r="G398" s="1">
        <v>6</v>
      </c>
      <c r="H398" s="1">
        <v>2226</v>
      </c>
      <c r="I398" s="1">
        <v>13356</v>
      </c>
      <c r="J398" s="1">
        <v>2003.3999999999999</v>
      </c>
      <c r="K398" s="1">
        <v>0.15</v>
      </c>
      <c r="L398" s="1">
        <v>11352.6</v>
      </c>
      <c r="M398" s="1" t="s">
        <v>18</v>
      </c>
    </row>
    <row r="399" spans="1:13" x14ac:dyDescent="0.35">
      <c r="A399" s="1" t="s">
        <v>674</v>
      </c>
      <c r="B399" s="2">
        <v>45510</v>
      </c>
      <c r="C399" s="1" t="s">
        <v>150</v>
      </c>
      <c r="D399" s="1" t="s">
        <v>1490</v>
      </c>
      <c r="E399" s="1" t="s">
        <v>48</v>
      </c>
      <c r="F399" s="1" t="s">
        <v>17</v>
      </c>
      <c r="G399" s="1">
        <v>5</v>
      </c>
      <c r="H399" s="1">
        <v>3917</v>
      </c>
      <c r="I399" s="1">
        <v>19585</v>
      </c>
      <c r="J399" s="1">
        <v>2937.75</v>
      </c>
      <c r="K399" s="1">
        <v>0.15</v>
      </c>
      <c r="L399" s="1">
        <v>16647.25</v>
      </c>
      <c r="M399" s="1" t="s">
        <v>18</v>
      </c>
    </row>
    <row r="400" spans="1:13" x14ac:dyDescent="0.35">
      <c r="A400" s="1" t="s">
        <v>675</v>
      </c>
      <c r="B400" s="2">
        <v>45100</v>
      </c>
      <c r="C400" s="1" t="s">
        <v>425</v>
      </c>
      <c r="D400" s="1" t="s">
        <v>1490</v>
      </c>
      <c r="E400" s="1" t="s">
        <v>181</v>
      </c>
      <c r="F400" s="1" t="s">
        <v>22</v>
      </c>
      <c r="G400" s="1">
        <v>6</v>
      </c>
      <c r="H400" s="1">
        <v>1077</v>
      </c>
      <c r="I400" s="1">
        <v>6462</v>
      </c>
      <c r="J400" s="1">
        <v>969.3</v>
      </c>
      <c r="K400" s="1">
        <v>0.15</v>
      </c>
      <c r="L400" s="1">
        <v>5492.7</v>
      </c>
      <c r="M400" s="1" t="s">
        <v>18</v>
      </c>
    </row>
    <row r="401" spans="1:13" x14ac:dyDescent="0.35">
      <c r="A401" s="1" t="s">
        <v>676</v>
      </c>
      <c r="B401" s="2">
        <v>44965</v>
      </c>
      <c r="C401" s="1" t="s">
        <v>128</v>
      </c>
      <c r="D401" s="1" t="s">
        <v>1490</v>
      </c>
      <c r="E401" s="1" t="s">
        <v>39</v>
      </c>
      <c r="F401" s="1" t="s">
        <v>22</v>
      </c>
      <c r="G401" s="1">
        <v>5</v>
      </c>
      <c r="H401" s="1">
        <v>2409</v>
      </c>
      <c r="I401" s="1">
        <v>12045</v>
      </c>
      <c r="J401" s="1">
        <v>1445.3999999999999</v>
      </c>
      <c r="K401" s="1">
        <v>0.12</v>
      </c>
      <c r="L401" s="1">
        <v>10599.6</v>
      </c>
      <c r="M401" s="1" t="s">
        <v>18</v>
      </c>
    </row>
    <row r="402" spans="1:13" x14ac:dyDescent="0.35">
      <c r="A402" s="1" t="s">
        <v>677</v>
      </c>
      <c r="B402" s="2">
        <v>45569</v>
      </c>
      <c r="C402" s="1" t="s">
        <v>95</v>
      </c>
      <c r="D402" s="1" t="s">
        <v>1492</v>
      </c>
      <c r="E402" s="1" t="s">
        <v>44</v>
      </c>
      <c r="F402" s="1" t="s">
        <v>45</v>
      </c>
      <c r="G402" s="1">
        <v>8</v>
      </c>
      <c r="H402" s="1">
        <v>489</v>
      </c>
      <c r="I402" s="1">
        <v>3912</v>
      </c>
      <c r="J402" s="1">
        <v>469.44</v>
      </c>
      <c r="K402" s="1">
        <v>0.12</v>
      </c>
      <c r="L402" s="1">
        <v>3442.56</v>
      </c>
      <c r="M402" s="1" t="s">
        <v>18</v>
      </c>
    </row>
    <row r="403" spans="1:13" x14ac:dyDescent="0.35">
      <c r="A403" s="1" t="s">
        <v>678</v>
      </c>
      <c r="B403" s="2">
        <v>45426</v>
      </c>
      <c r="C403" s="1" t="s">
        <v>204</v>
      </c>
      <c r="D403" s="1" t="s">
        <v>1490</v>
      </c>
      <c r="E403" s="1" t="s">
        <v>189</v>
      </c>
      <c r="F403" s="1" t="s">
        <v>45</v>
      </c>
      <c r="G403" s="1">
        <v>7</v>
      </c>
      <c r="H403" s="1">
        <v>3210</v>
      </c>
      <c r="I403" s="1">
        <v>22470</v>
      </c>
      <c r="J403" s="1">
        <v>5392.8</v>
      </c>
      <c r="K403" s="1">
        <v>0.24</v>
      </c>
      <c r="L403" s="1">
        <v>17077.2</v>
      </c>
      <c r="M403" s="1" t="s">
        <v>18</v>
      </c>
    </row>
    <row r="404" spans="1:13" x14ac:dyDescent="0.35">
      <c r="A404" s="1" t="s">
        <v>679</v>
      </c>
      <c r="B404" s="2">
        <v>45351</v>
      </c>
      <c r="C404" s="1" t="s">
        <v>498</v>
      </c>
      <c r="D404" s="1" t="s">
        <v>1493</v>
      </c>
      <c r="E404" s="1" t="s">
        <v>26</v>
      </c>
      <c r="F404" s="1" t="s">
        <v>17</v>
      </c>
      <c r="G404" s="1">
        <v>6</v>
      </c>
      <c r="H404" s="1">
        <v>4768</v>
      </c>
      <c r="I404" s="1">
        <v>28608</v>
      </c>
      <c r="J404" s="1">
        <v>286.08</v>
      </c>
      <c r="K404" s="1">
        <v>0.01</v>
      </c>
      <c r="L404" s="1">
        <v>28321.919999999998</v>
      </c>
      <c r="M404" s="1" t="s">
        <v>18</v>
      </c>
    </row>
    <row r="405" spans="1:13" x14ac:dyDescent="0.35">
      <c r="A405" s="1" t="s">
        <v>680</v>
      </c>
      <c r="B405" s="2">
        <v>44982</v>
      </c>
      <c r="C405" s="1" t="s">
        <v>365</v>
      </c>
      <c r="D405" s="1" t="s">
        <v>1493</v>
      </c>
      <c r="E405" s="1" t="s">
        <v>60</v>
      </c>
      <c r="F405" s="1" t="s">
        <v>45</v>
      </c>
      <c r="G405" s="1">
        <v>5</v>
      </c>
      <c r="H405" s="1">
        <v>1421</v>
      </c>
      <c r="I405" s="1">
        <v>7105</v>
      </c>
      <c r="J405" s="1">
        <v>1065.75</v>
      </c>
      <c r="K405" s="1">
        <v>0.15</v>
      </c>
      <c r="L405" s="1">
        <v>6039.25</v>
      </c>
      <c r="M405" s="1" t="s">
        <v>18</v>
      </c>
    </row>
    <row r="406" spans="1:13" x14ac:dyDescent="0.35">
      <c r="A406" s="1" t="s">
        <v>681</v>
      </c>
      <c r="B406" s="2">
        <v>45310</v>
      </c>
      <c r="C406" s="1" t="s">
        <v>116</v>
      </c>
      <c r="D406" s="1" t="s">
        <v>1490</v>
      </c>
      <c r="E406" s="1" t="s">
        <v>57</v>
      </c>
      <c r="F406" s="1" t="s">
        <v>45</v>
      </c>
      <c r="G406" s="1">
        <v>10</v>
      </c>
      <c r="H406" s="1">
        <v>4957</v>
      </c>
      <c r="I406" s="1">
        <v>49570</v>
      </c>
      <c r="J406" s="1">
        <v>9418.2999999999993</v>
      </c>
      <c r="K406" s="1">
        <v>0.19</v>
      </c>
      <c r="L406" s="1">
        <v>40151.699999999997</v>
      </c>
      <c r="M406" s="1" t="s">
        <v>18</v>
      </c>
    </row>
    <row r="407" spans="1:13" x14ac:dyDescent="0.35">
      <c r="A407" s="1" t="s">
        <v>682</v>
      </c>
      <c r="B407" s="2">
        <v>45096</v>
      </c>
      <c r="C407" s="1" t="s">
        <v>605</v>
      </c>
      <c r="D407" s="1" t="s">
        <v>1492</v>
      </c>
      <c r="E407" s="1" t="s">
        <v>21</v>
      </c>
      <c r="F407" s="1" t="s">
        <v>22</v>
      </c>
      <c r="G407" s="1">
        <v>6</v>
      </c>
      <c r="H407" s="1">
        <v>4765</v>
      </c>
      <c r="I407" s="1">
        <v>28590</v>
      </c>
      <c r="J407" s="1">
        <v>7147.5</v>
      </c>
      <c r="K407" s="1">
        <v>0.25</v>
      </c>
      <c r="L407" s="1">
        <v>21442.5</v>
      </c>
      <c r="M407" s="1" t="s">
        <v>18</v>
      </c>
    </row>
    <row r="408" spans="1:13" x14ac:dyDescent="0.35">
      <c r="A408" s="1" t="s">
        <v>683</v>
      </c>
      <c r="B408" s="2">
        <v>45114</v>
      </c>
      <c r="C408" s="1" t="s">
        <v>43</v>
      </c>
      <c r="D408" s="1" t="s">
        <v>1490</v>
      </c>
      <c r="E408" s="1" t="s">
        <v>26</v>
      </c>
      <c r="F408" s="1" t="s">
        <v>17</v>
      </c>
      <c r="G408" s="1">
        <v>6</v>
      </c>
      <c r="H408" s="1">
        <v>4132</v>
      </c>
      <c r="I408" s="1">
        <v>24792</v>
      </c>
      <c r="J408" s="1">
        <v>2727.12</v>
      </c>
      <c r="K408" s="1">
        <v>0.11</v>
      </c>
      <c r="L408" s="1">
        <v>22064.880000000001</v>
      </c>
      <c r="M408" s="1" t="s">
        <v>18</v>
      </c>
    </row>
    <row r="409" spans="1:13" x14ac:dyDescent="0.35">
      <c r="A409" s="1" t="s">
        <v>684</v>
      </c>
      <c r="B409" s="2">
        <v>45170</v>
      </c>
      <c r="C409" s="1" t="s">
        <v>630</v>
      </c>
      <c r="D409" s="1" t="s">
        <v>1490</v>
      </c>
      <c r="E409" s="1" t="s">
        <v>32</v>
      </c>
      <c r="F409" s="1" t="s">
        <v>17</v>
      </c>
      <c r="G409" s="1">
        <v>1</v>
      </c>
      <c r="H409" s="1">
        <v>3076</v>
      </c>
      <c r="I409" s="1">
        <v>3076</v>
      </c>
      <c r="J409" s="1">
        <v>338.36</v>
      </c>
      <c r="K409" s="1">
        <v>0.11</v>
      </c>
      <c r="L409" s="1">
        <v>2737.64</v>
      </c>
      <c r="M409" s="1" t="s">
        <v>18</v>
      </c>
    </row>
    <row r="410" spans="1:13" x14ac:dyDescent="0.35">
      <c r="A410" s="1" t="s">
        <v>685</v>
      </c>
      <c r="B410" s="2">
        <v>45150</v>
      </c>
      <c r="C410" s="1" t="s">
        <v>134</v>
      </c>
      <c r="D410" s="1" t="s">
        <v>1492</v>
      </c>
      <c r="E410" s="1" t="s">
        <v>181</v>
      </c>
      <c r="F410" s="1" t="s">
        <v>22</v>
      </c>
      <c r="G410" s="1">
        <v>3</v>
      </c>
      <c r="H410" s="1">
        <v>3704</v>
      </c>
      <c r="I410" s="1">
        <v>11112</v>
      </c>
      <c r="J410" s="1">
        <v>555.6</v>
      </c>
      <c r="K410" s="1">
        <v>0.05</v>
      </c>
      <c r="L410" s="1">
        <v>10556.4</v>
      </c>
      <c r="M410" s="1" t="s">
        <v>18</v>
      </c>
    </row>
    <row r="411" spans="1:13" x14ac:dyDescent="0.35">
      <c r="A411" s="1" t="s">
        <v>686</v>
      </c>
      <c r="B411" s="2">
        <v>45295</v>
      </c>
      <c r="C411" s="1" t="s">
        <v>107</v>
      </c>
      <c r="D411" s="1" t="s">
        <v>1490</v>
      </c>
      <c r="E411" s="1" t="s">
        <v>189</v>
      </c>
      <c r="F411" s="1" t="s">
        <v>45</v>
      </c>
      <c r="G411" s="1">
        <v>7</v>
      </c>
      <c r="H411" s="1">
        <v>1819</v>
      </c>
      <c r="I411" s="1">
        <v>12733</v>
      </c>
      <c r="J411" s="1">
        <v>636.65000000000009</v>
      </c>
      <c r="K411" s="1">
        <v>0.05</v>
      </c>
      <c r="L411" s="1">
        <v>12096.35</v>
      </c>
      <c r="M411" s="1" t="s">
        <v>18</v>
      </c>
    </row>
    <row r="412" spans="1:13" x14ac:dyDescent="0.35">
      <c r="A412" s="1" t="s">
        <v>687</v>
      </c>
      <c r="B412" s="2">
        <v>45186</v>
      </c>
      <c r="C412" s="1" t="s">
        <v>144</v>
      </c>
      <c r="D412" s="1" t="s">
        <v>1493</v>
      </c>
      <c r="E412" s="1" t="s">
        <v>189</v>
      </c>
      <c r="F412" s="1" t="s">
        <v>45</v>
      </c>
      <c r="G412" s="1">
        <v>7</v>
      </c>
      <c r="H412" s="1">
        <v>4119</v>
      </c>
      <c r="I412" s="1">
        <v>28833</v>
      </c>
      <c r="J412" s="1">
        <v>2018.3100000000002</v>
      </c>
      <c r="K412" s="1">
        <v>7.0000000000000007E-2</v>
      </c>
      <c r="L412" s="1">
        <v>26814.69</v>
      </c>
      <c r="M412" s="1" t="s">
        <v>18</v>
      </c>
    </row>
    <row r="413" spans="1:13" x14ac:dyDescent="0.35">
      <c r="A413" s="1" t="s">
        <v>688</v>
      </c>
      <c r="B413" s="2">
        <v>45453</v>
      </c>
      <c r="C413" s="1" t="s">
        <v>363</v>
      </c>
      <c r="D413" s="1" t="s">
        <v>1492</v>
      </c>
      <c r="E413" s="1" t="s">
        <v>181</v>
      </c>
      <c r="F413" s="1" t="s">
        <v>22</v>
      </c>
      <c r="G413" s="1">
        <v>1</v>
      </c>
      <c r="H413" s="1">
        <v>4393</v>
      </c>
      <c r="I413" s="1">
        <v>4393</v>
      </c>
      <c r="J413" s="1">
        <v>43.93</v>
      </c>
      <c r="K413" s="1">
        <v>0.01</v>
      </c>
      <c r="L413" s="1">
        <v>4349.07</v>
      </c>
      <c r="M413" s="1" t="s">
        <v>18</v>
      </c>
    </row>
    <row r="414" spans="1:13" x14ac:dyDescent="0.35">
      <c r="A414" s="1" t="s">
        <v>689</v>
      </c>
      <c r="B414" s="2">
        <v>45209</v>
      </c>
      <c r="C414" s="1" t="s">
        <v>148</v>
      </c>
      <c r="D414" s="1" t="s">
        <v>1493</v>
      </c>
      <c r="E414" s="1" t="s">
        <v>26</v>
      </c>
      <c r="F414" s="1" t="s">
        <v>17</v>
      </c>
      <c r="G414" s="1">
        <v>2</v>
      </c>
      <c r="H414" s="1">
        <v>2364</v>
      </c>
      <c r="I414" s="1">
        <v>4728</v>
      </c>
      <c r="J414" s="1">
        <v>614.64</v>
      </c>
      <c r="K414" s="1">
        <v>0.13</v>
      </c>
      <c r="L414" s="1">
        <v>4113.3599999999997</v>
      </c>
      <c r="M414" s="1" t="s">
        <v>18</v>
      </c>
    </row>
    <row r="415" spans="1:13" x14ac:dyDescent="0.35">
      <c r="A415" s="1" t="s">
        <v>690</v>
      </c>
      <c r="B415" s="2">
        <v>45263</v>
      </c>
      <c r="C415" s="1" t="s">
        <v>279</v>
      </c>
      <c r="D415" s="1" t="s">
        <v>1493</v>
      </c>
      <c r="E415" s="1" t="s">
        <v>26</v>
      </c>
      <c r="F415" s="1" t="s">
        <v>17</v>
      </c>
      <c r="G415" s="1">
        <v>5</v>
      </c>
      <c r="H415" s="1">
        <v>4026</v>
      </c>
      <c r="I415" s="1">
        <v>20130</v>
      </c>
      <c r="J415" s="1">
        <v>3824.7</v>
      </c>
      <c r="K415" s="1">
        <v>0.19</v>
      </c>
      <c r="L415" s="1">
        <v>16305.3</v>
      </c>
      <c r="M415" s="1" t="s">
        <v>18</v>
      </c>
    </row>
    <row r="416" spans="1:13" x14ac:dyDescent="0.35">
      <c r="A416" s="1" t="s">
        <v>691</v>
      </c>
      <c r="B416" s="2">
        <v>44992</v>
      </c>
      <c r="C416" s="1" t="s">
        <v>658</v>
      </c>
      <c r="D416" s="1" t="s">
        <v>1492</v>
      </c>
      <c r="E416" s="1" t="s">
        <v>48</v>
      </c>
      <c r="F416" s="1" t="s">
        <v>17</v>
      </c>
      <c r="G416" s="1">
        <v>1</v>
      </c>
      <c r="H416" s="1">
        <v>2926</v>
      </c>
      <c r="I416" s="1">
        <v>2926</v>
      </c>
      <c r="J416" s="1">
        <v>409.64000000000004</v>
      </c>
      <c r="K416" s="1">
        <v>0.14000000000000001</v>
      </c>
      <c r="L416" s="1">
        <v>2516.36</v>
      </c>
      <c r="M416" s="1" t="s">
        <v>18</v>
      </c>
    </row>
    <row r="417" spans="1:13" x14ac:dyDescent="0.35">
      <c r="A417" s="1" t="s">
        <v>692</v>
      </c>
      <c r="B417" s="2">
        <v>45154</v>
      </c>
      <c r="C417" s="1" t="s">
        <v>103</v>
      </c>
      <c r="D417" s="1" t="s">
        <v>1490</v>
      </c>
      <c r="E417" s="1" t="s">
        <v>181</v>
      </c>
      <c r="F417" s="1" t="s">
        <v>22</v>
      </c>
      <c r="G417" s="1">
        <v>8</v>
      </c>
      <c r="H417" s="1">
        <v>1441</v>
      </c>
      <c r="I417" s="1">
        <v>11528</v>
      </c>
      <c r="J417" s="1">
        <v>1152.8</v>
      </c>
      <c r="K417" s="1">
        <v>0.1</v>
      </c>
      <c r="L417" s="1">
        <v>10375.200000000001</v>
      </c>
      <c r="M417" s="1" t="s">
        <v>18</v>
      </c>
    </row>
    <row r="418" spans="1:13" x14ac:dyDescent="0.35">
      <c r="A418" s="1" t="s">
        <v>693</v>
      </c>
      <c r="B418" s="2">
        <v>45431</v>
      </c>
      <c r="C418" s="1" t="s">
        <v>694</v>
      </c>
      <c r="D418" s="1" t="s">
        <v>1491</v>
      </c>
      <c r="E418" s="1" t="s">
        <v>48</v>
      </c>
      <c r="F418" s="1" t="s">
        <v>17</v>
      </c>
      <c r="G418" s="1">
        <v>3</v>
      </c>
      <c r="H418" s="1">
        <v>3164</v>
      </c>
      <c r="I418" s="1">
        <v>9492</v>
      </c>
      <c r="J418" s="1">
        <v>1044.1200000000001</v>
      </c>
      <c r="K418" s="1">
        <v>0.11</v>
      </c>
      <c r="L418" s="1">
        <v>8447.8799999999992</v>
      </c>
      <c r="M418" s="1" t="s">
        <v>18</v>
      </c>
    </row>
    <row r="419" spans="1:13" x14ac:dyDescent="0.35">
      <c r="A419" s="1" t="s">
        <v>695</v>
      </c>
      <c r="B419" s="2">
        <v>45465</v>
      </c>
      <c r="C419" s="1" t="s">
        <v>696</v>
      </c>
      <c r="D419" s="1" t="s">
        <v>1492</v>
      </c>
      <c r="E419" s="1" t="s">
        <v>26</v>
      </c>
      <c r="F419" s="1" t="s">
        <v>17</v>
      </c>
      <c r="G419" s="1">
        <v>4</v>
      </c>
      <c r="H419" s="1">
        <v>2584</v>
      </c>
      <c r="I419" s="1">
        <v>10336</v>
      </c>
      <c r="J419" s="1">
        <v>723.5200000000001</v>
      </c>
      <c r="K419" s="1">
        <v>7.0000000000000007E-2</v>
      </c>
      <c r="L419" s="1">
        <v>9612.48</v>
      </c>
      <c r="M419" s="1" t="s">
        <v>18</v>
      </c>
    </row>
    <row r="420" spans="1:13" x14ac:dyDescent="0.35">
      <c r="A420" s="1" t="s">
        <v>697</v>
      </c>
      <c r="B420" s="2">
        <v>45137</v>
      </c>
      <c r="C420" s="1" t="s">
        <v>597</v>
      </c>
      <c r="D420" s="1" t="s">
        <v>1492</v>
      </c>
      <c r="E420" s="1" t="s">
        <v>32</v>
      </c>
      <c r="F420" s="1" t="s">
        <v>17</v>
      </c>
      <c r="G420" s="1">
        <v>2</v>
      </c>
      <c r="H420" s="1">
        <v>1093</v>
      </c>
      <c r="I420" s="1">
        <v>2186</v>
      </c>
      <c r="J420" s="1">
        <v>524.64</v>
      </c>
      <c r="K420" s="1">
        <v>0.24</v>
      </c>
      <c r="L420" s="1">
        <v>1661.36</v>
      </c>
      <c r="M420" s="1" t="s">
        <v>18</v>
      </c>
    </row>
    <row r="421" spans="1:13" x14ac:dyDescent="0.35">
      <c r="A421" s="1" t="s">
        <v>698</v>
      </c>
      <c r="B421" s="2">
        <v>45379</v>
      </c>
      <c r="C421" s="1" t="s">
        <v>191</v>
      </c>
      <c r="D421" s="1" t="s">
        <v>1492</v>
      </c>
      <c r="E421" s="1" t="s">
        <v>16</v>
      </c>
      <c r="F421" s="1" t="s">
        <v>17</v>
      </c>
      <c r="G421" s="1">
        <v>10</v>
      </c>
      <c r="H421" s="1">
        <v>1173</v>
      </c>
      <c r="I421" s="1">
        <v>11730</v>
      </c>
      <c r="J421" s="1">
        <v>2697.9</v>
      </c>
      <c r="K421" s="1">
        <v>0.23</v>
      </c>
      <c r="L421" s="1">
        <v>9032.1</v>
      </c>
      <c r="M421" s="1" t="s">
        <v>18</v>
      </c>
    </row>
    <row r="422" spans="1:13" x14ac:dyDescent="0.35">
      <c r="A422" s="1" t="s">
        <v>699</v>
      </c>
      <c r="B422" s="2">
        <v>44935</v>
      </c>
      <c r="C422" s="1" t="s">
        <v>323</v>
      </c>
      <c r="D422" s="1" t="s">
        <v>1493</v>
      </c>
      <c r="E422" s="1" t="s">
        <v>16</v>
      </c>
      <c r="F422" s="1" t="s">
        <v>17</v>
      </c>
      <c r="G422" s="1">
        <v>3</v>
      </c>
      <c r="H422" s="1">
        <v>4225</v>
      </c>
      <c r="I422" s="1">
        <v>12675</v>
      </c>
      <c r="J422" s="1">
        <v>760.5</v>
      </c>
      <c r="K422" s="1">
        <v>0.06</v>
      </c>
      <c r="L422" s="1">
        <v>11914.5</v>
      </c>
      <c r="M422" s="1" t="s">
        <v>18</v>
      </c>
    </row>
    <row r="423" spans="1:13" x14ac:dyDescent="0.35">
      <c r="A423" s="1" t="s">
        <v>700</v>
      </c>
      <c r="B423" s="2">
        <v>45566</v>
      </c>
      <c r="C423" s="1" t="s">
        <v>493</v>
      </c>
      <c r="D423" s="1" t="s">
        <v>1491</v>
      </c>
      <c r="E423" s="1" t="s">
        <v>16</v>
      </c>
      <c r="F423" s="1" t="s">
        <v>17</v>
      </c>
      <c r="G423" s="1">
        <v>7</v>
      </c>
      <c r="H423" s="1">
        <v>2319</v>
      </c>
      <c r="I423" s="1">
        <v>16233</v>
      </c>
      <c r="J423" s="1">
        <v>162.33000000000001</v>
      </c>
      <c r="K423" s="1">
        <v>0.01</v>
      </c>
      <c r="L423" s="1">
        <v>16070.67</v>
      </c>
      <c r="M423" s="1" t="s">
        <v>18</v>
      </c>
    </row>
    <row r="424" spans="1:13" x14ac:dyDescent="0.35">
      <c r="A424" s="1" t="s">
        <v>701</v>
      </c>
      <c r="B424" s="2">
        <v>45326</v>
      </c>
      <c r="C424" s="1" t="s">
        <v>185</v>
      </c>
      <c r="D424" s="1" t="s">
        <v>1492</v>
      </c>
      <c r="E424" s="1" t="s">
        <v>44</v>
      </c>
      <c r="F424" s="1" t="s">
        <v>45</v>
      </c>
      <c r="G424" s="1">
        <v>4</v>
      </c>
      <c r="H424" s="1">
        <v>3809</v>
      </c>
      <c r="I424" s="1">
        <v>15236</v>
      </c>
      <c r="J424" s="1">
        <v>1523.6000000000001</v>
      </c>
      <c r="K424" s="1">
        <v>0.1</v>
      </c>
      <c r="L424" s="1">
        <v>13712.4</v>
      </c>
      <c r="M424" s="1" t="s">
        <v>18</v>
      </c>
    </row>
    <row r="425" spans="1:13" x14ac:dyDescent="0.35">
      <c r="A425" s="1" t="s">
        <v>702</v>
      </c>
      <c r="B425" s="2">
        <v>45453</v>
      </c>
      <c r="C425" s="1" t="s">
        <v>544</v>
      </c>
      <c r="D425" s="1" t="s">
        <v>1490</v>
      </c>
      <c r="E425" s="1" t="s">
        <v>189</v>
      </c>
      <c r="F425" s="1" t="s">
        <v>45</v>
      </c>
      <c r="G425" s="1">
        <v>5</v>
      </c>
      <c r="H425" s="1">
        <v>2766</v>
      </c>
      <c r="I425" s="1">
        <v>13830</v>
      </c>
      <c r="J425" s="1">
        <v>553.20000000000005</v>
      </c>
      <c r="K425" s="1">
        <v>0.04</v>
      </c>
      <c r="L425" s="1">
        <v>13276.8</v>
      </c>
      <c r="M425" s="1" t="s">
        <v>18</v>
      </c>
    </row>
    <row r="426" spans="1:13" x14ac:dyDescent="0.35">
      <c r="A426" s="1" t="s">
        <v>703</v>
      </c>
      <c r="B426" s="2">
        <v>45487</v>
      </c>
      <c r="C426" s="1" t="s">
        <v>365</v>
      </c>
      <c r="D426" s="1" t="s">
        <v>1493</v>
      </c>
      <c r="E426" s="1" t="s">
        <v>57</v>
      </c>
      <c r="F426" s="1" t="s">
        <v>45</v>
      </c>
      <c r="G426" s="1">
        <v>8</v>
      </c>
      <c r="H426" s="1">
        <v>237</v>
      </c>
      <c r="I426" s="1">
        <v>1896</v>
      </c>
      <c r="J426" s="1">
        <v>474</v>
      </c>
      <c r="K426" s="1">
        <v>0.25</v>
      </c>
      <c r="L426" s="1">
        <v>1422</v>
      </c>
      <c r="M426" s="1" t="s">
        <v>18</v>
      </c>
    </row>
    <row r="427" spans="1:13" x14ac:dyDescent="0.35">
      <c r="A427" s="1" t="s">
        <v>704</v>
      </c>
      <c r="B427" s="2">
        <v>45578</v>
      </c>
      <c r="C427" s="1" t="s">
        <v>128</v>
      </c>
      <c r="D427" s="1" t="s">
        <v>1490</v>
      </c>
      <c r="E427" s="1" t="s">
        <v>39</v>
      </c>
      <c r="F427" s="1" t="s">
        <v>22</v>
      </c>
      <c r="G427" s="1">
        <v>10</v>
      </c>
      <c r="H427" s="1">
        <v>414</v>
      </c>
      <c r="I427" s="1">
        <v>4140</v>
      </c>
      <c r="J427" s="1">
        <v>1117.8000000000002</v>
      </c>
      <c r="K427" s="1">
        <v>0.27</v>
      </c>
      <c r="L427" s="1">
        <v>3022.2</v>
      </c>
      <c r="M427" s="1" t="s">
        <v>18</v>
      </c>
    </row>
    <row r="428" spans="1:13" x14ac:dyDescent="0.35">
      <c r="A428" s="1" t="s">
        <v>705</v>
      </c>
      <c r="B428" s="2">
        <v>44963</v>
      </c>
      <c r="C428" s="1" t="s">
        <v>352</v>
      </c>
      <c r="D428" s="1" t="s">
        <v>1490</v>
      </c>
      <c r="E428" s="1" t="s">
        <v>16</v>
      </c>
      <c r="F428" s="1" t="s">
        <v>17</v>
      </c>
      <c r="G428" s="1">
        <v>9</v>
      </c>
      <c r="H428" s="1">
        <v>3773</v>
      </c>
      <c r="I428" s="1">
        <v>33957</v>
      </c>
      <c r="J428" s="1">
        <v>9168.3900000000012</v>
      </c>
      <c r="K428" s="1">
        <v>0.27</v>
      </c>
      <c r="L428" s="1">
        <v>24788.61</v>
      </c>
      <c r="M428" s="1" t="s">
        <v>18</v>
      </c>
    </row>
    <row r="429" spans="1:13" x14ac:dyDescent="0.35">
      <c r="A429" s="1" t="s">
        <v>706</v>
      </c>
      <c r="B429" s="2">
        <v>45610</v>
      </c>
      <c r="C429" s="1" t="s">
        <v>489</v>
      </c>
      <c r="D429" s="1" t="s">
        <v>1491</v>
      </c>
      <c r="E429" s="1" t="s">
        <v>189</v>
      </c>
      <c r="F429" s="1" t="s">
        <v>45</v>
      </c>
      <c r="G429" s="1">
        <v>5</v>
      </c>
      <c r="H429" s="1">
        <v>423</v>
      </c>
      <c r="I429" s="1">
        <v>2115</v>
      </c>
      <c r="J429" s="1">
        <v>211.5</v>
      </c>
      <c r="K429" s="1">
        <v>0.1</v>
      </c>
      <c r="L429" s="1">
        <v>1903.5</v>
      </c>
      <c r="M429" s="1" t="s">
        <v>18</v>
      </c>
    </row>
    <row r="430" spans="1:13" x14ac:dyDescent="0.35">
      <c r="A430" s="1" t="s">
        <v>707</v>
      </c>
      <c r="B430" s="2">
        <v>45224</v>
      </c>
      <c r="C430" s="1" t="s">
        <v>317</v>
      </c>
      <c r="D430" s="1" t="s">
        <v>1490</v>
      </c>
      <c r="E430" s="1" t="s">
        <v>189</v>
      </c>
      <c r="F430" s="1" t="s">
        <v>45</v>
      </c>
      <c r="G430" s="1">
        <v>1</v>
      </c>
      <c r="H430" s="1">
        <v>1880</v>
      </c>
      <c r="I430" s="1">
        <v>1880</v>
      </c>
      <c r="J430" s="1">
        <v>413.6</v>
      </c>
      <c r="K430" s="1">
        <v>0.22</v>
      </c>
      <c r="L430" s="1">
        <v>1466.4</v>
      </c>
      <c r="M430" s="1" t="s">
        <v>18</v>
      </c>
    </row>
    <row r="431" spans="1:13" x14ac:dyDescent="0.35">
      <c r="A431" s="1" t="s">
        <v>708</v>
      </c>
      <c r="B431" s="2">
        <v>45268</v>
      </c>
      <c r="C431" s="1" t="s">
        <v>330</v>
      </c>
      <c r="D431" s="1" t="s">
        <v>1490</v>
      </c>
      <c r="E431" s="1" t="s">
        <v>21</v>
      </c>
      <c r="F431" s="1" t="s">
        <v>22</v>
      </c>
      <c r="G431" s="1">
        <v>6</v>
      </c>
      <c r="H431" s="1">
        <v>4485</v>
      </c>
      <c r="I431" s="1">
        <v>26910</v>
      </c>
      <c r="J431" s="1">
        <v>807.3</v>
      </c>
      <c r="K431" s="1">
        <v>0.03</v>
      </c>
      <c r="L431" s="1">
        <v>26102.7</v>
      </c>
      <c r="M431" s="1" t="s">
        <v>18</v>
      </c>
    </row>
    <row r="432" spans="1:13" x14ac:dyDescent="0.35">
      <c r="A432" s="1" t="s">
        <v>709</v>
      </c>
      <c r="B432" s="2">
        <v>45082</v>
      </c>
      <c r="C432" s="1" t="s">
        <v>146</v>
      </c>
      <c r="D432" s="1" t="s">
        <v>1491</v>
      </c>
      <c r="E432" s="1" t="s">
        <v>21</v>
      </c>
      <c r="F432" s="1" t="s">
        <v>22</v>
      </c>
      <c r="G432" s="1">
        <v>4</v>
      </c>
      <c r="H432" s="1">
        <v>2837</v>
      </c>
      <c r="I432" s="1">
        <v>11348</v>
      </c>
      <c r="J432" s="1">
        <v>2950.48</v>
      </c>
      <c r="K432" s="1">
        <v>0.26</v>
      </c>
      <c r="L432" s="1">
        <v>8397.52</v>
      </c>
      <c r="M432" s="1" t="s">
        <v>18</v>
      </c>
    </row>
    <row r="433" spans="1:13" x14ac:dyDescent="0.35">
      <c r="A433" s="1" t="s">
        <v>710</v>
      </c>
      <c r="B433" s="2">
        <v>45321</v>
      </c>
      <c r="C433" s="1" t="s">
        <v>34</v>
      </c>
      <c r="D433" s="1" t="s">
        <v>1491</v>
      </c>
      <c r="E433" s="1" t="s">
        <v>32</v>
      </c>
      <c r="F433" s="1" t="s">
        <v>17</v>
      </c>
      <c r="G433" s="1">
        <v>1</v>
      </c>
      <c r="H433" s="1">
        <v>4624</v>
      </c>
      <c r="I433" s="1">
        <v>4624</v>
      </c>
      <c r="J433" s="1">
        <v>832.31999999999994</v>
      </c>
      <c r="K433" s="1">
        <v>0.18</v>
      </c>
      <c r="L433" s="1">
        <v>3791.68</v>
      </c>
      <c r="M433" s="1" t="s">
        <v>18</v>
      </c>
    </row>
    <row r="434" spans="1:13" x14ac:dyDescent="0.35">
      <c r="A434" s="1" t="s">
        <v>711</v>
      </c>
      <c r="B434" s="2">
        <v>45097</v>
      </c>
      <c r="C434" s="1" t="s">
        <v>136</v>
      </c>
      <c r="D434" s="1" t="s">
        <v>1490</v>
      </c>
      <c r="E434" s="1" t="s">
        <v>16</v>
      </c>
      <c r="F434" s="1" t="s">
        <v>17</v>
      </c>
      <c r="G434" s="1">
        <v>2</v>
      </c>
      <c r="H434" s="1">
        <v>2361</v>
      </c>
      <c r="I434" s="1">
        <v>4722</v>
      </c>
      <c r="J434" s="1">
        <v>141.66</v>
      </c>
      <c r="K434" s="1">
        <v>0.03</v>
      </c>
      <c r="L434" s="1">
        <v>4580.34</v>
      </c>
      <c r="M434" s="1" t="s">
        <v>18</v>
      </c>
    </row>
    <row r="435" spans="1:13" x14ac:dyDescent="0.35">
      <c r="A435" s="1" t="s">
        <v>712</v>
      </c>
      <c r="B435" s="2">
        <v>45032</v>
      </c>
      <c r="C435" s="1" t="s">
        <v>89</v>
      </c>
      <c r="D435" s="1" t="s">
        <v>1490</v>
      </c>
      <c r="E435" s="1" t="s">
        <v>48</v>
      </c>
      <c r="F435" s="1" t="s">
        <v>17</v>
      </c>
      <c r="G435" s="1">
        <v>9</v>
      </c>
      <c r="H435" s="1">
        <v>107</v>
      </c>
      <c r="I435" s="1">
        <v>963</v>
      </c>
      <c r="J435" s="1">
        <v>163.71</v>
      </c>
      <c r="K435" s="1">
        <v>0.17</v>
      </c>
      <c r="L435" s="1">
        <v>799.29</v>
      </c>
      <c r="M435" s="1" t="s">
        <v>18</v>
      </c>
    </row>
    <row r="436" spans="1:13" x14ac:dyDescent="0.35">
      <c r="A436" s="1" t="s">
        <v>713</v>
      </c>
      <c r="B436" s="2">
        <v>45413</v>
      </c>
      <c r="C436" s="1" t="s">
        <v>332</v>
      </c>
      <c r="D436" s="1" t="s">
        <v>1490</v>
      </c>
      <c r="E436" s="1" t="s">
        <v>16</v>
      </c>
      <c r="F436" s="1" t="s">
        <v>17</v>
      </c>
      <c r="G436" s="1">
        <v>10</v>
      </c>
      <c r="H436" s="1">
        <v>1675</v>
      </c>
      <c r="I436" s="1">
        <v>16750</v>
      </c>
      <c r="J436" s="1">
        <v>2680</v>
      </c>
      <c r="K436" s="1">
        <v>0.16</v>
      </c>
      <c r="L436" s="1">
        <v>14070</v>
      </c>
      <c r="M436" s="1" t="s">
        <v>18</v>
      </c>
    </row>
    <row r="437" spans="1:13" x14ac:dyDescent="0.35">
      <c r="A437" s="1" t="s">
        <v>714</v>
      </c>
      <c r="B437" s="2">
        <v>44946</v>
      </c>
      <c r="C437" s="1" t="s">
        <v>507</v>
      </c>
      <c r="D437" s="1" t="s">
        <v>1490</v>
      </c>
      <c r="E437" s="1" t="s">
        <v>57</v>
      </c>
      <c r="F437" s="1" t="s">
        <v>45</v>
      </c>
      <c r="G437" s="1">
        <v>3</v>
      </c>
      <c r="H437" s="1">
        <v>2212</v>
      </c>
      <c r="I437" s="1">
        <v>6636</v>
      </c>
      <c r="J437" s="1">
        <v>1659</v>
      </c>
      <c r="K437" s="1">
        <v>0.25</v>
      </c>
      <c r="L437" s="1">
        <v>4977</v>
      </c>
      <c r="M437" s="1" t="s">
        <v>18</v>
      </c>
    </row>
    <row r="438" spans="1:13" x14ac:dyDescent="0.35">
      <c r="A438" s="1" t="s">
        <v>715</v>
      </c>
      <c r="B438" s="2">
        <v>45422</v>
      </c>
      <c r="C438" s="1" t="s">
        <v>235</v>
      </c>
      <c r="D438" s="1" t="s">
        <v>1491</v>
      </c>
      <c r="E438" s="1" t="s">
        <v>57</v>
      </c>
      <c r="F438" s="1" t="s">
        <v>45</v>
      </c>
      <c r="G438" s="1">
        <v>3</v>
      </c>
      <c r="H438" s="1">
        <v>3200</v>
      </c>
      <c r="I438" s="1">
        <v>9600</v>
      </c>
      <c r="J438" s="1">
        <v>480</v>
      </c>
      <c r="K438" s="1">
        <v>0.05</v>
      </c>
      <c r="L438" s="1">
        <v>9120</v>
      </c>
      <c r="M438" s="1" t="s">
        <v>18</v>
      </c>
    </row>
    <row r="439" spans="1:13" x14ac:dyDescent="0.35">
      <c r="A439" s="1" t="s">
        <v>716</v>
      </c>
      <c r="B439" s="2">
        <v>45024</v>
      </c>
      <c r="C439" s="1" t="s">
        <v>608</v>
      </c>
      <c r="D439" s="1" t="s">
        <v>1493</v>
      </c>
      <c r="E439" s="1" t="s">
        <v>181</v>
      </c>
      <c r="F439" s="1" t="s">
        <v>22</v>
      </c>
      <c r="G439" s="1">
        <v>4</v>
      </c>
      <c r="H439" s="1">
        <v>3515</v>
      </c>
      <c r="I439" s="1">
        <v>14060</v>
      </c>
      <c r="J439" s="1">
        <v>1546.6</v>
      </c>
      <c r="K439" s="1">
        <v>0.11</v>
      </c>
      <c r="L439" s="1">
        <v>12513.4</v>
      </c>
      <c r="M439" s="1" t="s">
        <v>18</v>
      </c>
    </row>
    <row r="440" spans="1:13" x14ac:dyDescent="0.35">
      <c r="A440" s="1" t="s">
        <v>717</v>
      </c>
      <c r="B440" s="2">
        <v>45016</v>
      </c>
      <c r="C440" s="1" t="s">
        <v>175</v>
      </c>
      <c r="D440" s="1" t="s">
        <v>1491</v>
      </c>
      <c r="E440" s="1" t="s">
        <v>29</v>
      </c>
      <c r="F440" s="1" t="s">
        <v>22</v>
      </c>
      <c r="G440" s="1">
        <v>9</v>
      </c>
      <c r="H440" s="1">
        <v>121</v>
      </c>
      <c r="I440" s="1">
        <v>1089</v>
      </c>
      <c r="J440" s="1">
        <v>283.14</v>
      </c>
      <c r="K440" s="1">
        <v>0.26</v>
      </c>
      <c r="L440" s="1">
        <v>805.86</v>
      </c>
      <c r="M440" s="1" t="s">
        <v>18</v>
      </c>
    </row>
    <row r="441" spans="1:13" x14ac:dyDescent="0.35">
      <c r="A441" s="1" t="s">
        <v>718</v>
      </c>
      <c r="B441" s="2">
        <v>45088</v>
      </c>
      <c r="C441" s="1" t="s">
        <v>719</v>
      </c>
      <c r="D441" s="1" t="s">
        <v>1490</v>
      </c>
      <c r="E441" s="1" t="s">
        <v>16</v>
      </c>
      <c r="F441" s="1" t="s">
        <v>17</v>
      </c>
      <c r="G441" s="1">
        <v>6</v>
      </c>
      <c r="H441" s="1">
        <v>4225</v>
      </c>
      <c r="I441" s="1">
        <v>25350</v>
      </c>
      <c r="J441" s="1">
        <v>5830.5</v>
      </c>
      <c r="K441" s="1">
        <v>0.23</v>
      </c>
      <c r="L441" s="1">
        <v>19519.5</v>
      </c>
      <c r="M441" s="1" t="s">
        <v>18</v>
      </c>
    </row>
    <row r="442" spans="1:13" x14ac:dyDescent="0.35">
      <c r="A442" s="1" t="s">
        <v>720</v>
      </c>
      <c r="B442" s="2">
        <v>44977</v>
      </c>
      <c r="C442" s="1" t="s">
        <v>382</v>
      </c>
      <c r="D442" s="1" t="s">
        <v>1490</v>
      </c>
      <c r="E442" s="1" t="s">
        <v>29</v>
      </c>
      <c r="F442" s="1" t="s">
        <v>22</v>
      </c>
      <c r="G442" s="1">
        <v>2</v>
      </c>
      <c r="H442" s="1">
        <v>3006</v>
      </c>
      <c r="I442" s="1">
        <v>6012</v>
      </c>
      <c r="J442" s="1">
        <v>661.32</v>
      </c>
      <c r="K442" s="1">
        <v>0.11</v>
      </c>
      <c r="L442" s="1">
        <v>5350.68</v>
      </c>
      <c r="M442" s="1" t="s">
        <v>18</v>
      </c>
    </row>
    <row r="443" spans="1:13" x14ac:dyDescent="0.35">
      <c r="A443" s="1" t="s">
        <v>721</v>
      </c>
      <c r="B443" s="2">
        <v>45311</v>
      </c>
      <c r="C443" s="1" t="s">
        <v>365</v>
      </c>
      <c r="D443" s="1" t="s">
        <v>1493</v>
      </c>
      <c r="E443" s="1" t="s">
        <v>60</v>
      </c>
      <c r="F443" s="1" t="s">
        <v>45</v>
      </c>
      <c r="G443" s="1">
        <v>4</v>
      </c>
      <c r="H443" s="1">
        <v>2103</v>
      </c>
      <c r="I443" s="1">
        <v>8412</v>
      </c>
      <c r="J443" s="1">
        <v>841.2</v>
      </c>
      <c r="K443" s="1">
        <v>0.1</v>
      </c>
      <c r="L443" s="1">
        <v>7570.8</v>
      </c>
      <c r="M443" s="1" t="s">
        <v>18</v>
      </c>
    </row>
    <row r="444" spans="1:13" x14ac:dyDescent="0.35">
      <c r="A444" s="1" t="s">
        <v>722</v>
      </c>
      <c r="B444" s="2">
        <v>45451</v>
      </c>
      <c r="C444" s="1" t="s">
        <v>148</v>
      </c>
      <c r="D444" s="1" t="s">
        <v>1493</v>
      </c>
      <c r="E444" s="1" t="s">
        <v>21</v>
      </c>
      <c r="F444" s="1" t="s">
        <v>22</v>
      </c>
      <c r="G444" s="1">
        <v>10</v>
      </c>
      <c r="H444" s="1">
        <v>400</v>
      </c>
      <c r="I444" s="1">
        <v>4000</v>
      </c>
      <c r="J444" s="1">
        <v>560</v>
      </c>
      <c r="K444" s="1">
        <v>0.14000000000000001</v>
      </c>
      <c r="L444" s="1">
        <v>3440</v>
      </c>
      <c r="M444" s="1" t="s">
        <v>18</v>
      </c>
    </row>
    <row r="445" spans="1:13" x14ac:dyDescent="0.35">
      <c r="A445" s="1" t="s">
        <v>723</v>
      </c>
      <c r="B445" s="2">
        <v>44938</v>
      </c>
      <c r="C445" s="1" t="s">
        <v>344</v>
      </c>
      <c r="D445" s="1" t="s">
        <v>1492</v>
      </c>
      <c r="E445" s="1" t="s">
        <v>29</v>
      </c>
      <c r="F445" s="1" t="s">
        <v>22</v>
      </c>
      <c r="G445" s="1">
        <v>9</v>
      </c>
      <c r="H445" s="1">
        <v>1931</v>
      </c>
      <c r="I445" s="1">
        <v>17379</v>
      </c>
      <c r="J445" s="1">
        <v>1042.74</v>
      </c>
      <c r="K445" s="1">
        <v>0.06</v>
      </c>
      <c r="L445" s="1">
        <v>16336.26</v>
      </c>
      <c r="M445" s="1" t="s">
        <v>18</v>
      </c>
    </row>
    <row r="446" spans="1:13" x14ac:dyDescent="0.35">
      <c r="A446" s="1" t="s">
        <v>724</v>
      </c>
      <c r="B446" s="2">
        <v>45535</v>
      </c>
      <c r="C446" s="1" t="s">
        <v>284</v>
      </c>
      <c r="D446" s="1" t="s">
        <v>1493</v>
      </c>
      <c r="E446" s="1" t="s">
        <v>44</v>
      </c>
      <c r="F446" s="1" t="s">
        <v>45</v>
      </c>
      <c r="G446" s="1">
        <v>5</v>
      </c>
      <c r="H446" s="1">
        <v>3484</v>
      </c>
      <c r="I446" s="1">
        <v>17420</v>
      </c>
      <c r="J446" s="1">
        <v>1742</v>
      </c>
      <c r="K446" s="1">
        <v>0.1</v>
      </c>
      <c r="L446" s="1">
        <v>15678</v>
      </c>
      <c r="M446" s="1" t="s">
        <v>18</v>
      </c>
    </row>
    <row r="447" spans="1:13" x14ac:dyDescent="0.35">
      <c r="A447" s="1" t="s">
        <v>725</v>
      </c>
      <c r="B447" s="2">
        <v>45233</v>
      </c>
      <c r="C447" s="1" t="s">
        <v>275</v>
      </c>
      <c r="D447" s="1" t="s">
        <v>1492</v>
      </c>
      <c r="E447" s="1" t="s">
        <v>16</v>
      </c>
      <c r="F447" s="1" t="s">
        <v>17</v>
      </c>
      <c r="G447" s="1">
        <v>5</v>
      </c>
      <c r="H447" s="1">
        <v>296</v>
      </c>
      <c r="I447" s="1">
        <v>1480</v>
      </c>
      <c r="J447" s="1">
        <v>222</v>
      </c>
      <c r="K447" s="1">
        <v>0.15</v>
      </c>
      <c r="L447" s="1">
        <v>1258</v>
      </c>
      <c r="M447" s="1" t="s">
        <v>18</v>
      </c>
    </row>
    <row r="448" spans="1:13" x14ac:dyDescent="0.35">
      <c r="A448" s="1" t="s">
        <v>726</v>
      </c>
      <c r="B448" s="2">
        <v>45030</v>
      </c>
      <c r="C448" s="1" t="s">
        <v>582</v>
      </c>
      <c r="D448" s="1" t="s">
        <v>1490</v>
      </c>
      <c r="E448" s="1" t="s">
        <v>189</v>
      </c>
      <c r="F448" s="1" t="s">
        <v>45</v>
      </c>
      <c r="G448" s="1">
        <v>5</v>
      </c>
      <c r="H448" s="1">
        <v>2095</v>
      </c>
      <c r="I448" s="1">
        <v>10475</v>
      </c>
      <c r="J448" s="1">
        <v>2618.75</v>
      </c>
      <c r="K448" s="1">
        <v>0.25</v>
      </c>
      <c r="L448" s="1">
        <v>7856.25</v>
      </c>
      <c r="M448" s="1" t="s">
        <v>18</v>
      </c>
    </row>
    <row r="449" spans="1:13" x14ac:dyDescent="0.35">
      <c r="A449" s="1" t="s">
        <v>727</v>
      </c>
      <c r="B449" s="2">
        <v>45076</v>
      </c>
      <c r="C449" s="1" t="s">
        <v>89</v>
      </c>
      <c r="D449" s="1" t="s">
        <v>1490</v>
      </c>
      <c r="E449" s="1" t="s">
        <v>26</v>
      </c>
      <c r="F449" s="1" t="s">
        <v>17</v>
      </c>
      <c r="G449" s="1">
        <v>4</v>
      </c>
      <c r="H449" s="1">
        <v>3581</v>
      </c>
      <c r="I449" s="1">
        <v>14324</v>
      </c>
      <c r="J449" s="1">
        <v>1289.1599999999999</v>
      </c>
      <c r="K449" s="1">
        <v>0.09</v>
      </c>
      <c r="L449" s="1">
        <v>13034.84</v>
      </c>
      <c r="M449" s="1" t="s">
        <v>18</v>
      </c>
    </row>
    <row r="450" spans="1:13" x14ac:dyDescent="0.35">
      <c r="A450" s="1" t="s">
        <v>728</v>
      </c>
      <c r="B450" s="2">
        <v>45262</v>
      </c>
      <c r="C450" s="1" t="s">
        <v>348</v>
      </c>
      <c r="D450" s="1" t="s">
        <v>1492</v>
      </c>
      <c r="E450" s="1" t="s">
        <v>189</v>
      </c>
      <c r="F450" s="1" t="s">
        <v>45</v>
      </c>
      <c r="G450" s="1">
        <v>7</v>
      </c>
      <c r="H450" s="1">
        <v>1443</v>
      </c>
      <c r="I450" s="1">
        <v>10101</v>
      </c>
      <c r="J450" s="1">
        <v>1010.1</v>
      </c>
      <c r="K450" s="1">
        <v>0.1</v>
      </c>
      <c r="L450" s="1">
        <v>9090.9</v>
      </c>
      <c r="M450" s="1" t="s">
        <v>18</v>
      </c>
    </row>
    <row r="451" spans="1:13" x14ac:dyDescent="0.35">
      <c r="A451" s="1" t="s">
        <v>729</v>
      </c>
      <c r="B451" s="2">
        <v>45572</v>
      </c>
      <c r="C451" s="1" t="s">
        <v>394</v>
      </c>
      <c r="D451" s="1" t="s">
        <v>1491</v>
      </c>
      <c r="E451" s="1" t="s">
        <v>189</v>
      </c>
      <c r="F451" s="1" t="s">
        <v>45</v>
      </c>
      <c r="G451" s="1">
        <v>1</v>
      </c>
      <c r="H451" s="1">
        <v>342</v>
      </c>
      <c r="I451" s="1">
        <v>342</v>
      </c>
      <c r="J451" s="1">
        <v>13.68</v>
      </c>
      <c r="K451" s="1">
        <v>0.04</v>
      </c>
      <c r="L451" s="1">
        <v>328.32</v>
      </c>
      <c r="M451" s="1" t="s">
        <v>18</v>
      </c>
    </row>
    <row r="452" spans="1:13" x14ac:dyDescent="0.35">
      <c r="A452" s="1" t="s">
        <v>730</v>
      </c>
      <c r="B452" s="2">
        <v>45240</v>
      </c>
      <c r="C452" s="1" t="s">
        <v>185</v>
      </c>
      <c r="D452" s="1" t="s">
        <v>1492</v>
      </c>
      <c r="E452" s="1" t="s">
        <v>29</v>
      </c>
      <c r="F452" s="1" t="s">
        <v>22</v>
      </c>
      <c r="G452" s="1">
        <v>6</v>
      </c>
      <c r="H452" s="1">
        <v>2557</v>
      </c>
      <c r="I452" s="1">
        <v>15342</v>
      </c>
      <c r="J452" s="1">
        <v>2454.7200000000003</v>
      </c>
      <c r="K452" s="1">
        <v>0.16</v>
      </c>
      <c r="L452" s="1">
        <v>12887.28</v>
      </c>
      <c r="M452" s="1" t="s">
        <v>18</v>
      </c>
    </row>
    <row r="453" spans="1:13" x14ac:dyDescent="0.35">
      <c r="A453" s="1" t="s">
        <v>731</v>
      </c>
      <c r="B453" s="2">
        <v>45320</v>
      </c>
      <c r="C453" s="1" t="s">
        <v>732</v>
      </c>
      <c r="D453" s="1" t="s">
        <v>1493</v>
      </c>
      <c r="E453" s="1" t="s">
        <v>21</v>
      </c>
      <c r="F453" s="1" t="s">
        <v>22</v>
      </c>
      <c r="G453" s="1">
        <v>4</v>
      </c>
      <c r="H453" s="1">
        <v>364</v>
      </c>
      <c r="I453" s="1">
        <v>1456</v>
      </c>
      <c r="J453" s="1">
        <v>291.2</v>
      </c>
      <c r="K453" s="1">
        <v>0.2</v>
      </c>
      <c r="L453" s="1">
        <v>1164.8</v>
      </c>
      <c r="M453" s="1" t="s">
        <v>18</v>
      </c>
    </row>
    <row r="454" spans="1:13" x14ac:dyDescent="0.35">
      <c r="A454" s="1" t="s">
        <v>733</v>
      </c>
      <c r="B454" s="2">
        <v>45040</v>
      </c>
      <c r="C454" s="1" t="s">
        <v>99</v>
      </c>
      <c r="D454" s="1" t="s">
        <v>1490</v>
      </c>
      <c r="E454" s="1" t="s">
        <v>29</v>
      </c>
      <c r="F454" s="1" t="s">
        <v>22</v>
      </c>
      <c r="G454" s="1">
        <v>5</v>
      </c>
      <c r="H454" s="1">
        <v>2563</v>
      </c>
      <c r="I454" s="1">
        <v>12815</v>
      </c>
      <c r="J454" s="1">
        <v>2947.4500000000003</v>
      </c>
      <c r="K454" s="1">
        <v>0.23</v>
      </c>
      <c r="L454" s="1">
        <v>9867.5499999999993</v>
      </c>
      <c r="M454" s="1" t="s">
        <v>18</v>
      </c>
    </row>
    <row r="455" spans="1:13" x14ac:dyDescent="0.35">
      <c r="A455" s="1" t="s">
        <v>734</v>
      </c>
      <c r="B455" s="2">
        <v>45212</v>
      </c>
      <c r="C455" s="1" t="s">
        <v>555</v>
      </c>
      <c r="D455" s="1" t="s">
        <v>1490</v>
      </c>
      <c r="E455" s="1" t="s">
        <v>60</v>
      </c>
      <c r="F455" s="1" t="s">
        <v>45</v>
      </c>
      <c r="G455" s="1">
        <v>4</v>
      </c>
      <c r="H455" s="1">
        <v>4482</v>
      </c>
      <c r="I455" s="1">
        <v>17928</v>
      </c>
      <c r="J455" s="1">
        <v>3764.8799999999997</v>
      </c>
      <c r="K455" s="1">
        <v>0.21</v>
      </c>
      <c r="L455" s="1">
        <v>14163.12</v>
      </c>
      <c r="M455" s="1" t="s">
        <v>18</v>
      </c>
    </row>
    <row r="456" spans="1:13" x14ac:dyDescent="0.35">
      <c r="A456" s="1" t="s">
        <v>735</v>
      </c>
      <c r="B456" s="2">
        <v>45290</v>
      </c>
      <c r="C456" s="1" t="s">
        <v>363</v>
      </c>
      <c r="D456" s="1" t="s">
        <v>1492</v>
      </c>
      <c r="E456" s="1" t="s">
        <v>21</v>
      </c>
      <c r="F456" s="1" t="s">
        <v>22</v>
      </c>
      <c r="G456" s="1">
        <v>2</v>
      </c>
      <c r="H456" s="1">
        <v>495</v>
      </c>
      <c r="I456" s="1">
        <v>990</v>
      </c>
      <c r="J456" s="1">
        <v>217.8</v>
      </c>
      <c r="K456" s="1">
        <v>0.22</v>
      </c>
      <c r="L456" s="1">
        <v>772.2</v>
      </c>
      <c r="M456" s="1" t="s">
        <v>18</v>
      </c>
    </row>
    <row r="457" spans="1:13" x14ac:dyDescent="0.35">
      <c r="A457" s="1" t="s">
        <v>736</v>
      </c>
      <c r="B457" s="2">
        <v>45241</v>
      </c>
      <c r="C457" s="1" t="s">
        <v>168</v>
      </c>
      <c r="D457" s="1" t="s">
        <v>1492</v>
      </c>
      <c r="E457" s="1" t="s">
        <v>57</v>
      </c>
      <c r="F457" s="1" t="s">
        <v>45</v>
      </c>
      <c r="G457" s="1">
        <v>7</v>
      </c>
      <c r="H457" s="1">
        <v>4123</v>
      </c>
      <c r="I457" s="1">
        <v>28861</v>
      </c>
      <c r="J457" s="1">
        <v>7792.47</v>
      </c>
      <c r="K457" s="1">
        <v>0.27</v>
      </c>
      <c r="L457" s="1">
        <v>21068.53</v>
      </c>
      <c r="M457" s="1" t="s">
        <v>18</v>
      </c>
    </row>
    <row r="458" spans="1:13" x14ac:dyDescent="0.35">
      <c r="A458" s="1" t="s">
        <v>737</v>
      </c>
      <c r="B458" s="2">
        <v>45192</v>
      </c>
      <c r="C458" s="1" t="s">
        <v>152</v>
      </c>
      <c r="D458" s="1" t="s">
        <v>1493</v>
      </c>
      <c r="E458" s="1" t="s">
        <v>60</v>
      </c>
      <c r="F458" s="1" t="s">
        <v>45</v>
      </c>
      <c r="G458" s="1">
        <v>1</v>
      </c>
      <c r="H458" s="1">
        <v>1381</v>
      </c>
      <c r="I458" s="1">
        <v>1381</v>
      </c>
      <c r="J458" s="1">
        <v>317.63</v>
      </c>
      <c r="K458" s="1">
        <v>0.23</v>
      </c>
      <c r="L458" s="1">
        <v>1063.3699999999999</v>
      </c>
      <c r="M458" s="1" t="s">
        <v>18</v>
      </c>
    </row>
    <row r="459" spans="1:13" x14ac:dyDescent="0.35">
      <c r="A459" s="1" t="s">
        <v>738</v>
      </c>
      <c r="B459" s="2">
        <v>45284</v>
      </c>
      <c r="C459" s="1" t="s">
        <v>140</v>
      </c>
      <c r="D459" s="1" t="s">
        <v>1490</v>
      </c>
      <c r="E459" s="1" t="s">
        <v>29</v>
      </c>
      <c r="F459" s="1" t="s">
        <v>22</v>
      </c>
      <c r="G459" s="1">
        <v>4</v>
      </c>
      <c r="H459" s="1">
        <v>2672</v>
      </c>
      <c r="I459" s="1">
        <v>10688</v>
      </c>
      <c r="J459" s="1">
        <v>1603.2</v>
      </c>
      <c r="K459" s="1">
        <v>0.15</v>
      </c>
      <c r="L459" s="1">
        <v>9084.7999999999993</v>
      </c>
      <c r="M459" s="1" t="s">
        <v>18</v>
      </c>
    </row>
    <row r="460" spans="1:13" x14ac:dyDescent="0.35">
      <c r="A460" s="1" t="s">
        <v>739</v>
      </c>
      <c r="B460" s="2">
        <v>45004</v>
      </c>
      <c r="C460" s="1" t="s">
        <v>93</v>
      </c>
      <c r="D460" s="1" t="s">
        <v>1492</v>
      </c>
      <c r="E460" s="1" t="s">
        <v>189</v>
      </c>
      <c r="F460" s="1" t="s">
        <v>45</v>
      </c>
      <c r="G460" s="1">
        <v>2</v>
      </c>
      <c r="H460" s="1">
        <v>3655</v>
      </c>
      <c r="I460" s="1">
        <v>7310</v>
      </c>
      <c r="J460" s="1">
        <v>1023.4000000000001</v>
      </c>
      <c r="K460" s="1">
        <v>0.14000000000000001</v>
      </c>
      <c r="L460" s="1">
        <v>6286.6</v>
      </c>
      <c r="M460" s="1" t="s">
        <v>18</v>
      </c>
    </row>
    <row r="461" spans="1:13" x14ac:dyDescent="0.35">
      <c r="A461" s="1" t="s">
        <v>740</v>
      </c>
      <c r="B461" s="2">
        <v>45304</v>
      </c>
      <c r="C461" s="1" t="s">
        <v>384</v>
      </c>
      <c r="D461" s="1" t="s">
        <v>1490</v>
      </c>
      <c r="E461" s="1" t="s">
        <v>48</v>
      </c>
      <c r="F461" s="1" t="s">
        <v>17</v>
      </c>
      <c r="G461" s="1">
        <v>6</v>
      </c>
      <c r="H461" s="1">
        <v>4957</v>
      </c>
      <c r="I461" s="1">
        <v>29742</v>
      </c>
      <c r="J461" s="1">
        <v>4461.3</v>
      </c>
      <c r="K461" s="1">
        <v>0.15</v>
      </c>
      <c r="L461" s="1">
        <v>25280.7</v>
      </c>
      <c r="M461" s="1" t="s">
        <v>18</v>
      </c>
    </row>
    <row r="462" spans="1:13" x14ac:dyDescent="0.35">
      <c r="A462" s="1" t="s">
        <v>741</v>
      </c>
      <c r="B462" s="2">
        <v>44954</v>
      </c>
      <c r="C462" s="1" t="s">
        <v>400</v>
      </c>
      <c r="D462" s="1" t="s">
        <v>1493</v>
      </c>
      <c r="E462" s="1" t="s">
        <v>16</v>
      </c>
      <c r="F462" s="1" t="s">
        <v>17</v>
      </c>
      <c r="G462" s="1">
        <v>9</v>
      </c>
      <c r="H462" s="1">
        <v>461</v>
      </c>
      <c r="I462" s="1">
        <v>4149</v>
      </c>
      <c r="J462" s="1">
        <v>871.29</v>
      </c>
      <c r="K462" s="1">
        <v>0.21</v>
      </c>
      <c r="L462" s="1">
        <v>3277.71</v>
      </c>
      <c r="M462" s="1" t="s">
        <v>18</v>
      </c>
    </row>
    <row r="463" spans="1:13" x14ac:dyDescent="0.35">
      <c r="A463" s="1" t="s">
        <v>742</v>
      </c>
      <c r="B463" s="2">
        <v>45063</v>
      </c>
      <c r="C463" s="1" t="s">
        <v>254</v>
      </c>
      <c r="D463" s="1" t="s">
        <v>1490</v>
      </c>
      <c r="E463" s="1" t="s">
        <v>32</v>
      </c>
      <c r="F463" s="1" t="s">
        <v>17</v>
      </c>
      <c r="G463" s="1">
        <v>7</v>
      </c>
      <c r="H463" s="1">
        <v>1310</v>
      </c>
      <c r="I463" s="1">
        <v>9170</v>
      </c>
      <c r="J463" s="1">
        <v>1467.2</v>
      </c>
      <c r="K463" s="1">
        <v>0.16</v>
      </c>
      <c r="L463" s="1">
        <v>7702.8</v>
      </c>
      <c r="M463" s="1" t="s">
        <v>18</v>
      </c>
    </row>
    <row r="464" spans="1:13" x14ac:dyDescent="0.35">
      <c r="A464" s="1" t="s">
        <v>743</v>
      </c>
      <c r="B464" s="2">
        <v>45122</v>
      </c>
      <c r="C464" s="1" t="s">
        <v>326</v>
      </c>
      <c r="D464" s="1" t="s">
        <v>1492</v>
      </c>
      <c r="E464" s="1" t="s">
        <v>39</v>
      </c>
      <c r="F464" s="1" t="s">
        <v>22</v>
      </c>
      <c r="G464" s="1">
        <v>8</v>
      </c>
      <c r="H464" s="1">
        <v>2837</v>
      </c>
      <c r="I464" s="1">
        <v>22696</v>
      </c>
      <c r="J464" s="1">
        <v>6808.8</v>
      </c>
      <c r="K464" s="1">
        <v>0.3</v>
      </c>
      <c r="L464" s="1">
        <v>15887.2</v>
      </c>
      <c r="M464" s="1" t="s">
        <v>18</v>
      </c>
    </row>
    <row r="465" spans="1:13" x14ac:dyDescent="0.35">
      <c r="A465" s="1" t="s">
        <v>744</v>
      </c>
      <c r="B465" s="2">
        <v>45289</v>
      </c>
      <c r="C465" s="1" t="s">
        <v>570</v>
      </c>
      <c r="D465" s="1" t="s">
        <v>1493</v>
      </c>
      <c r="E465" s="1" t="s">
        <v>26</v>
      </c>
      <c r="F465" s="1" t="s">
        <v>17</v>
      </c>
      <c r="G465" s="1">
        <v>5</v>
      </c>
      <c r="H465" s="1">
        <v>4206</v>
      </c>
      <c r="I465" s="1">
        <v>21030</v>
      </c>
      <c r="J465" s="1">
        <v>2103</v>
      </c>
      <c r="K465" s="1">
        <v>0.1</v>
      </c>
      <c r="L465" s="1">
        <v>18927</v>
      </c>
      <c r="M465" s="1" t="s">
        <v>18</v>
      </c>
    </row>
    <row r="466" spans="1:13" x14ac:dyDescent="0.35">
      <c r="A466" s="1" t="s">
        <v>745</v>
      </c>
      <c r="B466" s="2">
        <v>45627</v>
      </c>
      <c r="C466" s="1" t="s">
        <v>246</v>
      </c>
      <c r="D466" s="1" t="s">
        <v>1492</v>
      </c>
      <c r="E466" s="1" t="s">
        <v>57</v>
      </c>
      <c r="F466" s="1" t="s">
        <v>45</v>
      </c>
      <c r="G466" s="1">
        <v>4</v>
      </c>
      <c r="H466" s="1">
        <v>2207</v>
      </c>
      <c r="I466" s="1">
        <v>8828</v>
      </c>
      <c r="J466" s="1">
        <v>617.96</v>
      </c>
      <c r="K466" s="1">
        <v>7.0000000000000007E-2</v>
      </c>
      <c r="L466" s="1">
        <v>8210.0400000000009</v>
      </c>
      <c r="M466" s="1" t="s">
        <v>18</v>
      </c>
    </row>
    <row r="467" spans="1:13" x14ac:dyDescent="0.35">
      <c r="A467" s="1" t="s">
        <v>746</v>
      </c>
      <c r="B467" s="2">
        <v>45615</v>
      </c>
      <c r="C467" s="1" t="s">
        <v>747</v>
      </c>
      <c r="D467" s="1" t="s">
        <v>1490</v>
      </c>
      <c r="E467" s="1" t="s">
        <v>26</v>
      </c>
      <c r="F467" s="1" t="s">
        <v>17</v>
      </c>
      <c r="G467" s="1">
        <v>5</v>
      </c>
      <c r="H467" s="1">
        <v>4543</v>
      </c>
      <c r="I467" s="1">
        <v>22715</v>
      </c>
      <c r="J467" s="1">
        <v>6814.5</v>
      </c>
      <c r="K467" s="1">
        <v>0.3</v>
      </c>
      <c r="L467" s="1">
        <v>15900.5</v>
      </c>
      <c r="M467" s="1" t="s">
        <v>18</v>
      </c>
    </row>
    <row r="468" spans="1:13" x14ac:dyDescent="0.35">
      <c r="A468" s="1" t="s">
        <v>748</v>
      </c>
      <c r="B468" s="2">
        <v>45462</v>
      </c>
      <c r="C468" s="1" t="s">
        <v>144</v>
      </c>
      <c r="D468" s="1" t="s">
        <v>1493</v>
      </c>
      <c r="E468" s="1" t="s">
        <v>57</v>
      </c>
      <c r="F468" s="1" t="s">
        <v>45</v>
      </c>
      <c r="G468" s="1">
        <v>3</v>
      </c>
      <c r="H468" s="1">
        <v>2706</v>
      </c>
      <c r="I468" s="1">
        <v>8118</v>
      </c>
      <c r="J468" s="1">
        <v>1298.8800000000001</v>
      </c>
      <c r="K468" s="1">
        <v>0.16</v>
      </c>
      <c r="L468" s="1">
        <v>6819.12</v>
      </c>
      <c r="M468" s="1" t="s">
        <v>18</v>
      </c>
    </row>
    <row r="469" spans="1:13" x14ac:dyDescent="0.35">
      <c r="A469" s="1" t="s">
        <v>749</v>
      </c>
      <c r="B469" s="2">
        <v>45477</v>
      </c>
      <c r="C469" s="1" t="s">
        <v>254</v>
      </c>
      <c r="D469" s="1" t="s">
        <v>1490</v>
      </c>
      <c r="E469" s="1" t="s">
        <v>26</v>
      </c>
      <c r="F469" s="1" t="s">
        <v>17</v>
      </c>
      <c r="G469" s="1">
        <v>1</v>
      </c>
      <c r="H469" s="1">
        <v>3028</v>
      </c>
      <c r="I469" s="1">
        <v>3028</v>
      </c>
      <c r="J469" s="1">
        <v>757</v>
      </c>
      <c r="K469" s="1">
        <v>0.25</v>
      </c>
      <c r="L469" s="1">
        <v>2271</v>
      </c>
      <c r="M469" s="1" t="s">
        <v>18</v>
      </c>
    </row>
    <row r="470" spans="1:13" x14ac:dyDescent="0.35">
      <c r="A470" s="1" t="s">
        <v>750</v>
      </c>
      <c r="B470" s="2">
        <v>45080</v>
      </c>
      <c r="C470" s="1" t="s">
        <v>605</v>
      </c>
      <c r="D470" s="1" t="s">
        <v>1492</v>
      </c>
      <c r="E470" s="1" t="s">
        <v>57</v>
      </c>
      <c r="F470" s="1" t="s">
        <v>45</v>
      </c>
      <c r="G470" s="1">
        <v>7</v>
      </c>
      <c r="H470" s="1">
        <v>871</v>
      </c>
      <c r="I470" s="1">
        <v>6097</v>
      </c>
      <c r="J470" s="1">
        <v>1280.3699999999999</v>
      </c>
      <c r="K470" s="1">
        <v>0.21</v>
      </c>
      <c r="L470" s="1">
        <v>4816.63</v>
      </c>
      <c r="M470" s="1" t="s">
        <v>18</v>
      </c>
    </row>
    <row r="471" spans="1:13" x14ac:dyDescent="0.35">
      <c r="A471" s="1" t="s">
        <v>751</v>
      </c>
      <c r="B471" s="2">
        <v>45458</v>
      </c>
      <c r="C471" s="1" t="s">
        <v>334</v>
      </c>
      <c r="D471" s="1" t="s">
        <v>1490</v>
      </c>
      <c r="E471" s="1" t="s">
        <v>57</v>
      </c>
      <c r="F471" s="1" t="s">
        <v>45</v>
      </c>
      <c r="G471" s="1">
        <v>4</v>
      </c>
      <c r="H471" s="1">
        <v>1260</v>
      </c>
      <c r="I471" s="1">
        <v>5040</v>
      </c>
      <c r="J471" s="1">
        <v>1411.2</v>
      </c>
      <c r="K471" s="1">
        <v>0.28000000000000003</v>
      </c>
      <c r="L471" s="1">
        <v>3628.8</v>
      </c>
      <c r="M471" s="1" t="s">
        <v>18</v>
      </c>
    </row>
    <row r="472" spans="1:13" x14ac:dyDescent="0.35">
      <c r="A472" s="1" t="s">
        <v>752</v>
      </c>
      <c r="B472" s="2">
        <v>45488</v>
      </c>
      <c r="C472" s="1" t="s">
        <v>409</v>
      </c>
      <c r="D472" s="1" t="s">
        <v>1491</v>
      </c>
      <c r="E472" s="1" t="s">
        <v>21</v>
      </c>
      <c r="F472" s="1" t="s">
        <v>22</v>
      </c>
      <c r="G472" s="1">
        <v>2</v>
      </c>
      <c r="H472" s="1">
        <v>4643</v>
      </c>
      <c r="I472" s="1">
        <v>9286</v>
      </c>
      <c r="J472" s="1">
        <v>1485.76</v>
      </c>
      <c r="K472" s="1">
        <v>0.16</v>
      </c>
      <c r="L472" s="1">
        <v>7800.24</v>
      </c>
      <c r="M472" s="1" t="s">
        <v>18</v>
      </c>
    </row>
    <row r="473" spans="1:13" x14ac:dyDescent="0.35">
      <c r="A473" s="1" t="s">
        <v>753</v>
      </c>
      <c r="B473" s="2">
        <v>45544</v>
      </c>
      <c r="C473" s="1" t="s">
        <v>146</v>
      </c>
      <c r="D473" s="1" t="s">
        <v>1491</v>
      </c>
      <c r="E473" s="1" t="s">
        <v>39</v>
      </c>
      <c r="F473" s="1" t="s">
        <v>22</v>
      </c>
      <c r="G473" s="1">
        <v>2</v>
      </c>
      <c r="H473" s="1">
        <v>3789</v>
      </c>
      <c r="I473" s="1">
        <v>7578</v>
      </c>
      <c r="J473" s="1">
        <v>1818.72</v>
      </c>
      <c r="K473" s="1">
        <v>0.24</v>
      </c>
      <c r="L473" s="1">
        <v>5759.28</v>
      </c>
      <c r="M473" s="1" t="s">
        <v>18</v>
      </c>
    </row>
    <row r="474" spans="1:13" x14ac:dyDescent="0.35">
      <c r="A474" s="1" t="s">
        <v>754</v>
      </c>
      <c r="B474" s="2">
        <v>45101</v>
      </c>
      <c r="C474" s="1" t="s">
        <v>429</v>
      </c>
      <c r="D474" s="1" t="s">
        <v>1491</v>
      </c>
      <c r="E474" s="1" t="s">
        <v>29</v>
      </c>
      <c r="F474" s="1" t="s">
        <v>22</v>
      </c>
      <c r="G474" s="1">
        <v>10</v>
      </c>
      <c r="H474" s="1">
        <v>1802</v>
      </c>
      <c r="I474" s="1">
        <v>18020</v>
      </c>
      <c r="J474" s="1">
        <v>5045.6000000000004</v>
      </c>
      <c r="K474" s="1">
        <v>0.28000000000000003</v>
      </c>
      <c r="L474" s="1">
        <v>12974.4</v>
      </c>
      <c r="M474" s="1" t="s">
        <v>18</v>
      </c>
    </row>
    <row r="475" spans="1:13" x14ac:dyDescent="0.35">
      <c r="A475" s="1" t="s">
        <v>755</v>
      </c>
      <c r="B475" s="2">
        <v>45388</v>
      </c>
      <c r="C475" s="1" t="s">
        <v>101</v>
      </c>
      <c r="D475" s="1" t="s">
        <v>1493</v>
      </c>
      <c r="E475" s="1" t="s">
        <v>16</v>
      </c>
      <c r="F475" s="1" t="s">
        <v>17</v>
      </c>
      <c r="G475" s="1">
        <v>7</v>
      </c>
      <c r="H475" s="1">
        <v>2770</v>
      </c>
      <c r="I475" s="1">
        <v>19390</v>
      </c>
      <c r="J475" s="1">
        <v>2908.5</v>
      </c>
      <c r="K475" s="1">
        <v>0.15</v>
      </c>
      <c r="L475" s="1">
        <v>16481.5</v>
      </c>
      <c r="M475" s="1" t="s">
        <v>18</v>
      </c>
    </row>
    <row r="476" spans="1:13" x14ac:dyDescent="0.35">
      <c r="A476" s="1" t="s">
        <v>756</v>
      </c>
      <c r="B476" s="2">
        <v>45362</v>
      </c>
      <c r="C476" s="1" t="s">
        <v>544</v>
      </c>
      <c r="D476" s="1" t="s">
        <v>1490</v>
      </c>
      <c r="E476" s="1" t="s">
        <v>29</v>
      </c>
      <c r="F476" s="1" t="s">
        <v>22</v>
      </c>
      <c r="G476" s="1">
        <v>4</v>
      </c>
      <c r="H476" s="1">
        <v>4393</v>
      </c>
      <c r="I476" s="1">
        <v>17572</v>
      </c>
      <c r="J476" s="1">
        <v>3162.96</v>
      </c>
      <c r="K476" s="1">
        <v>0.18</v>
      </c>
      <c r="L476" s="1">
        <v>14409.04</v>
      </c>
      <c r="M476" s="1" t="s">
        <v>18</v>
      </c>
    </row>
    <row r="477" spans="1:13" x14ac:dyDescent="0.35">
      <c r="A477" s="1" t="s">
        <v>757</v>
      </c>
      <c r="B477" s="2">
        <v>45480</v>
      </c>
      <c r="C477" s="1" t="s">
        <v>198</v>
      </c>
      <c r="D477" s="1" t="s">
        <v>1493</v>
      </c>
      <c r="E477" s="1" t="s">
        <v>57</v>
      </c>
      <c r="F477" s="1" t="s">
        <v>45</v>
      </c>
      <c r="G477" s="1">
        <v>1</v>
      </c>
      <c r="H477" s="1">
        <v>2741</v>
      </c>
      <c r="I477" s="1">
        <v>2741</v>
      </c>
      <c r="J477" s="1">
        <v>301.51</v>
      </c>
      <c r="K477" s="1">
        <v>0.11</v>
      </c>
      <c r="L477" s="1">
        <v>2439.4899999999998</v>
      </c>
      <c r="M477" s="1" t="s">
        <v>18</v>
      </c>
    </row>
    <row r="478" spans="1:13" x14ac:dyDescent="0.35">
      <c r="A478" s="1" t="s">
        <v>758</v>
      </c>
      <c r="B478" s="2">
        <v>45098</v>
      </c>
      <c r="C478" s="1" t="s">
        <v>732</v>
      </c>
      <c r="D478" s="1" t="s">
        <v>1493</v>
      </c>
      <c r="E478" s="1" t="s">
        <v>16</v>
      </c>
      <c r="F478" s="1" t="s">
        <v>17</v>
      </c>
      <c r="G478" s="1">
        <v>6</v>
      </c>
      <c r="H478" s="1">
        <v>3213</v>
      </c>
      <c r="I478" s="1">
        <v>19278</v>
      </c>
      <c r="J478" s="1">
        <v>2891.7</v>
      </c>
      <c r="K478" s="1">
        <v>0.15</v>
      </c>
      <c r="L478" s="1">
        <v>16386.3</v>
      </c>
      <c r="M478" s="1" t="s">
        <v>18</v>
      </c>
    </row>
    <row r="479" spans="1:13" x14ac:dyDescent="0.35">
      <c r="A479" s="1" t="s">
        <v>759</v>
      </c>
      <c r="B479" s="2">
        <v>45489</v>
      </c>
      <c r="C479" s="1" t="s">
        <v>388</v>
      </c>
      <c r="D479" s="1" t="s">
        <v>1493</v>
      </c>
      <c r="E479" s="1" t="s">
        <v>60</v>
      </c>
      <c r="F479" s="1" t="s">
        <v>45</v>
      </c>
      <c r="G479" s="1">
        <v>6</v>
      </c>
      <c r="H479" s="1">
        <v>3333</v>
      </c>
      <c r="I479" s="1">
        <v>19998</v>
      </c>
      <c r="J479" s="1">
        <v>4999.5</v>
      </c>
      <c r="K479" s="1">
        <v>0.25</v>
      </c>
      <c r="L479" s="1">
        <v>14998.5</v>
      </c>
      <c r="M479" s="1" t="s">
        <v>18</v>
      </c>
    </row>
    <row r="480" spans="1:13" x14ac:dyDescent="0.35">
      <c r="A480" s="1" t="s">
        <v>760</v>
      </c>
      <c r="B480" s="2">
        <v>45338</v>
      </c>
      <c r="C480" s="1" t="s">
        <v>282</v>
      </c>
      <c r="D480" s="1" t="s">
        <v>1492</v>
      </c>
      <c r="E480" s="1" t="s">
        <v>26</v>
      </c>
      <c r="F480" s="1" t="s">
        <v>17</v>
      </c>
      <c r="G480" s="1">
        <v>8</v>
      </c>
      <c r="H480" s="1">
        <v>4751</v>
      </c>
      <c r="I480" s="1">
        <v>38008</v>
      </c>
      <c r="J480" s="1">
        <v>1140.24</v>
      </c>
      <c r="K480" s="1">
        <v>0.03</v>
      </c>
      <c r="L480" s="1">
        <v>36867.760000000002</v>
      </c>
      <c r="M480" s="1" t="s">
        <v>18</v>
      </c>
    </row>
    <row r="481" spans="1:13" x14ac:dyDescent="0.35">
      <c r="A481" s="1" t="s">
        <v>761</v>
      </c>
      <c r="B481" s="2">
        <v>45213</v>
      </c>
      <c r="C481" s="1" t="s">
        <v>85</v>
      </c>
      <c r="D481" s="1" t="s">
        <v>1492</v>
      </c>
      <c r="E481" s="1" t="s">
        <v>181</v>
      </c>
      <c r="F481" s="1" t="s">
        <v>22</v>
      </c>
      <c r="G481" s="1">
        <v>9</v>
      </c>
      <c r="H481" s="1">
        <v>144</v>
      </c>
      <c r="I481" s="1">
        <v>1296</v>
      </c>
      <c r="J481" s="1">
        <v>349.92</v>
      </c>
      <c r="K481" s="1">
        <v>0.27</v>
      </c>
      <c r="L481" s="1">
        <v>946.08</v>
      </c>
      <c r="M481" s="1" t="s">
        <v>18</v>
      </c>
    </row>
    <row r="482" spans="1:13" x14ac:dyDescent="0.35">
      <c r="A482" s="1" t="s">
        <v>762</v>
      </c>
      <c r="B482" s="2">
        <v>45546</v>
      </c>
      <c r="C482" s="1" t="s">
        <v>97</v>
      </c>
      <c r="D482" s="1" t="s">
        <v>1491</v>
      </c>
      <c r="E482" s="1" t="s">
        <v>29</v>
      </c>
      <c r="F482" s="1" t="s">
        <v>22</v>
      </c>
      <c r="G482" s="1">
        <v>8</v>
      </c>
      <c r="H482" s="1">
        <v>1335</v>
      </c>
      <c r="I482" s="1">
        <v>10680</v>
      </c>
      <c r="J482" s="1">
        <v>1388.4</v>
      </c>
      <c r="K482" s="1">
        <v>0.13</v>
      </c>
      <c r="L482" s="1">
        <v>9291.6</v>
      </c>
      <c r="M482" s="1" t="s">
        <v>18</v>
      </c>
    </row>
    <row r="483" spans="1:13" x14ac:dyDescent="0.35">
      <c r="A483" s="1" t="s">
        <v>763</v>
      </c>
      <c r="B483" s="2">
        <v>45424</v>
      </c>
      <c r="C483" s="1" t="s">
        <v>41</v>
      </c>
      <c r="D483" s="1" t="s">
        <v>1490</v>
      </c>
      <c r="E483" s="1" t="s">
        <v>39</v>
      </c>
      <c r="F483" s="1" t="s">
        <v>22</v>
      </c>
      <c r="G483" s="1">
        <v>9</v>
      </c>
      <c r="H483" s="1">
        <v>3914</v>
      </c>
      <c r="I483" s="1">
        <v>35226</v>
      </c>
      <c r="J483" s="1">
        <v>7397.46</v>
      </c>
      <c r="K483" s="1">
        <v>0.21</v>
      </c>
      <c r="L483" s="1">
        <v>27828.54</v>
      </c>
      <c r="M483" s="1" t="s">
        <v>18</v>
      </c>
    </row>
    <row r="484" spans="1:13" x14ac:dyDescent="0.35">
      <c r="A484" s="1" t="s">
        <v>764</v>
      </c>
      <c r="B484" s="2">
        <v>45170</v>
      </c>
      <c r="C484" s="1" t="s">
        <v>572</v>
      </c>
      <c r="D484" s="1" t="s">
        <v>1491</v>
      </c>
      <c r="E484" s="1" t="s">
        <v>29</v>
      </c>
      <c r="F484" s="1" t="s">
        <v>22</v>
      </c>
      <c r="G484" s="1">
        <v>9</v>
      </c>
      <c r="H484" s="1">
        <v>4305</v>
      </c>
      <c r="I484" s="1">
        <v>38745</v>
      </c>
      <c r="J484" s="1">
        <v>4261.95</v>
      </c>
      <c r="K484" s="1">
        <v>0.11</v>
      </c>
      <c r="L484" s="1">
        <v>34483.050000000003</v>
      </c>
      <c r="M484" s="1" t="s">
        <v>18</v>
      </c>
    </row>
    <row r="485" spans="1:13" x14ac:dyDescent="0.35">
      <c r="A485" s="1" t="s">
        <v>765</v>
      </c>
      <c r="B485" s="2">
        <v>45054</v>
      </c>
      <c r="C485" s="1" t="s">
        <v>352</v>
      </c>
      <c r="D485" s="1" t="s">
        <v>1490</v>
      </c>
      <c r="E485" s="1" t="s">
        <v>26</v>
      </c>
      <c r="F485" s="1" t="s">
        <v>17</v>
      </c>
      <c r="G485" s="1">
        <v>4</v>
      </c>
      <c r="H485" s="1">
        <v>2312</v>
      </c>
      <c r="I485" s="1">
        <v>9248</v>
      </c>
      <c r="J485" s="1">
        <v>2589.44</v>
      </c>
      <c r="K485" s="1">
        <v>0.28000000000000003</v>
      </c>
      <c r="L485" s="1">
        <v>6658.56</v>
      </c>
      <c r="M485" s="1" t="s">
        <v>18</v>
      </c>
    </row>
    <row r="486" spans="1:13" x14ac:dyDescent="0.35">
      <c r="A486" s="1" t="s">
        <v>766</v>
      </c>
      <c r="B486" s="2">
        <v>44947</v>
      </c>
      <c r="C486" s="1" t="s">
        <v>344</v>
      </c>
      <c r="D486" s="1" t="s">
        <v>1492</v>
      </c>
      <c r="E486" s="1" t="s">
        <v>57</v>
      </c>
      <c r="F486" s="1" t="s">
        <v>45</v>
      </c>
      <c r="G486" s="1">
        <v>10</v>
      </c>
      <c r="H486" s="1">
        <v>4546</v>
      </c>
      <c r="I486" s="1">
        <v>45460</v>
      </c>
      <c r="J486" s="1">
        <v>1363.8</v>
      </c>
      <c r="K486" s="1">
        <v>0.03</v>
      </c>
      <c r="L486" s="1">
        <v>44096.2</v>
      </c>
      <c r="M486" s="1" t="s">
        <v>18</v>
      </c>
    </row>
    <row r="487" spans="1:13" x14ac:dyDescent="0.35">
      <c r="A487" s="1" t="s">
        <v>767</v>
      </c>
      <c r="B487" s="2">
        <v>45502</v>
      </c>
      <c r="C487" s="1" t="s">
        <v>429</v>
      </c>
      <c r="D487" s="1" t="s">
        <v>1491</v>
      </c>
      <c r="E487" s="1" t="s">
        <v>44</v>
      </c>
      <c r="F487" s="1" t="s">
        <v>45</v>
      </c>
      <c r="G487" s="1">
        <v>4</v>
      </c>
      <c r="H487" s="1">
        <v>1677</v>
      </c>
      <c r="I487" s="1">
        <v>6708</v>
      </c>
      <c r="J487" s="1">
        <v>335.40000000000003</v>
      </c>
      <c r="K487" s="1">
        <v>0.05</v>
      </c>
      <c r="L487" s="1">
        <v>6372.6</v>
      </c>
      <c r="M487" s="1" t="s">
        <v>18</v>
      </c>
    </row>
    <row r="488" spans="1:13" x14ac:dyDescent="0.35">
      <c r="A488" s="1" t="s">
        <v>768</v>
      </c>
      <c r="B488" s="2">
        <v>45223</v>
      </c>
      <c r="C488" s="1" t="s">
        <v>507</v>
      </c>
      <c r="D488" s="1" t="s">
        <v>1490</v>
      </c>
      <c r="E488" s="1" t="s">
        <v>26</v>
      </c>
      <c r="F488" s="1" t="s">
        <v>17</v>
      </c>
      <c r="G488" s="1">
        <v>6</v>
      </c>
      <c r="H488" s="1">
        <v>1596</v>
      </c>
      <c r="I488" s="1">
        <v>9576</v>
      </c>
      <c r="J488" s="1">
        <v>2298.2399999999998</v>
      </c>
      <c r="K488" s="1">
        <v>0.24</v>
      </c>
      <c r="L488" s="1">
        <v>7277.76</v>
      </c>
      <c r="M488" s="1" t="s">
        <v>18</v>
      </c>
    </row>
    <row r="489" spans="1:13" x14ac:dyDescent="0.35">
      <c r="A489" s="1" t="s">
        <v>769</v>
      </c>
      <c r="B489" s="2">
        <v>45278</v>
      </c>
      <c r="C489" s="1" t="s">
        <v>311</v>
      </c>
      <c r="D489" s="1" t="s">
        <v>1490</v>
      </c>
      <c r="E489" s="1" t="s">
        <v>39</v>
      </c>
      <c r="F489" s="1" t="s">
        <v>22</v>
      </c>
      <c r="G489" s="1">
        <v>6</v>
      </c>
      <c r="H489" s="1">
        <v>1439</v>
      </c>
      <c r="I489" s="1">
        <v>8634</v>
      </c>
      <c r="J489" s="1">
        <v>2417.5200000000004</v>
      </c>
      <c r="K489" s="1">
        <v>0.28000000000000003</v>
      </c>
      <c r="L489" s="1">
        <v>6216.48</v>
      </c>
      <c r="M489" s="1" t="s">
        <v>18</v>
      </c>
    </row>
    <row r="490" spans="1:13" x14ac:dyDescent="0.35">
      <c r="A490" s="1" t="s">
        <v>770</v>
      </c>
      <c r="B490" s="2">
        <v>45358</v>
      </c>
      <c r="C490" s="1" t="s">
        <v>47</v>
      </c>
      <c r="D490" s="1" t="s">
        <v>1492</v>
      </c>
      <c r="E490" s="1" t="s">
        <v>29</v>
      </c>
      <c r="F490" s="1" t="s">
        <v>22</v>
      </c>
      <c r="G490" s="1">
        <v>6</v>
      </c>
      <c r="H490" s="1">
        <v>3839</v>
      </c>
      <c r="I490" s="1">
        <v>23034</v>
      </c>
      <c r="J490" s="1">
        <v>6219.18</v>
      </c>
      <c r="K490" s="1">
        <v>0.27</v>
      </c>
      <c r="L490" s="1">
        <v>16814.82</v>
      </c>
      <c r="M490" s="1" t="s">
        <v>18</v>
      </c>
    </row>
    <row r="491" spans="1:13" x14ac:dyDescent="0.35">
      <c r="A491" s="1" t="s">
        <v>771</v>
      </c>
      <c r="B491" s="2">
        <v>45283</v>
      </c>
      <c r="C491" s="1" t="s">
        <v>363</v>
      </c>
      <c r="D491" s="1" t="s">
        <v>1492</v>
      </c>
      <c r="E491" s="1" t="s">
        <v>44</v>
      </c>
      <c r="F491" s="1" t="s">
        <v>45</v>
      </c>
      <c r="G491" s="1">
        <v>4</v>
      </c>
      <c r="H491" s="1">
        <v>3437</v>
      </c>
      <c r="I491" s="1">
        <v>13748</v>
      </c>
      <c r="J491" s="1">
        <v>3986.9199999999996</v>
      </c>
      <c r="K491" s="1">
        <v>0.28999999999999998</v>
      </c>
      <c r="L491" s="1">
        <v>9761.08</v>
      </c>
      <c r="M491" s="1" t="s">
        <v>18</v>
      </c>
    </row>
    <row r="492" spans="1:13" x14ac:dyDescent="0.35">
      <c r="A492" s="1" t="s">
        <v>772</v>
      </c>
      <c r="B492" s="2">
        <v>45511</v>
      </c>
      <c r="C492" s="1" t="s">
        <v>175</v>
      </c>
      <c r="D492" s="1" t="s">
        <v>1491</v>
      </c>
      <c r="E492" s="1" t="s">
        <v>181</v>
      </c>
      <c r="F492" s="1" t="s">
        <v>22</v>
      </c>
      <c r="G492" s="1">
        <v>5</v>
      </c>
      <c r="H492" s="1">
        <v>1424</v>
      </c>
      <c r="I492" s="1">
        <v>7120</v>
      </c>
      <c r="J492" s="1">
        <v>640.79999999999995</v>
      </c>
      <c r="K492" s="1">
        <v>0.09</v>
      </c>
      <c r="L492" s="1">
        <v>6479.2</v>
      </c>
      <c r="M492" s="1" t="s">
        <v>18</v>
      </c>
    </row>
    <row r="493" spans="1:13" x14ac:dyDescent="0.35">
      <c r="A493" s="1" t="s">
        <v>773</v>
      </c>
      <c r="B493" s="2">
        <v>45098</v>
      </c>
      <c r="C493" s="1" t="s">
        <v>82</v>
      </c>
      <c r="D493" s="1" t="s">
        <v>1490</v>
      </c>
      <c r="E493" s="1" t="s">
        <v>48</v>
      </c>
      <c r="F493" s="1" t="s">
        <v>17</v>
      </c>
      <c r="G493" s="1">
        <v>3</v>
      </c>
      <c r="H493" s="1">
        <v>715</v>
      </c>
      <c r="I493" s="1">
        <v>2145</v>
      </c>
      <c r="J493" s="1">
        <v>471.9</v>
      </c>
      <c r="K493" s="1">
        <v>0.22</v>
      </c>
      <c r="L493" s="1">
        <v>1673.1</v>
      </c>
      <c r="M493" s="1" t="s">
        <v>18</v>
      </c>
    </row>
    <row r="494" spans="1:13" x14ac:dyDescent="0.35">
      <c r="A494" s="1" t="s">
        <v>774</v>
      </c>
      <c r="B494" s="2">
        <v>45466</v>
      </c>
      <c r="C494" s="1" t="s">
        <v>134</v>
      </c>
      <c r="D494" s="1" t="s">
        <v>1492</v>
      </c>
      <c r="E494" s="1" t="s">
        <v>60</v>
      </c>
      <c r="F494" s="1" t="s">
        <v>45</v>
      </c>
      <c r="G494" s="1">
        <v>6</v>
      </c>
      <c r="H494" s="1">
        <v>4869</v>
      </c>
      <c r="I494" s="1">
        <v>29214</v>
      </c>
      <c r="J494" s="1">
        <v>3797.82</v>
      </c>
      <c r="K494" s="1">
        <v>0.13</v>
      </c>
      <c r="L494" s="1">
        <v>25416.18</v>
      </c>
      <c r="M494" s="1" t="s">
        <v>18</v>
      </c>
    </row>
    <row r="495" spans="1:13" x14ac:dyDescent="0.35">
      <c r="A495" s="1" t="s">
        <v>775</v>
      </c>
      <c r="B495" s="2">
        <v>45464</v>
      </c>
      <c r="C495" s="1" t="s">
        <v>252</v>
      </c>
      <c r="D495" s="1" t="s">
        <v>1492</v>
      </c>
      <c r="E495" s="1" t="s">
        <v>39</v>
      </c>
      <c r="F495" s="1" t="s">
        <v>22</v>
      </c>
      <c r="G495" s="1">
        <v>2</v>
      </c>
      <c r="H495" s="1">
        <v>2850</v>
      </c>
      <c r="I495" s="1">
        <v>5700</v>
      </c>
      <c r="J495" s="1">
        <v>285</v>
      </c>
      <c r="K495" s="1">
        <v>0.05</v>
      </c>
      <c r="L495" s="1">
        <v>5415</v>
      </c>
      <c r="M495" s="1" t="s">
        <v>18</v>
      </c>
    </row>
    <row r="496" spans="1:13" x14ac:dyDescent="0.35">
      <c r="A496" s="1" t="s">
        <v>776</v>
      </c>
      <c r="B496" s="2">
        <v>45310</v>
      </c>
      <c r="C496" s="1" t="s">
        <v>107</v>
      </c>
      <c r="D496" s="1" t="s">
        <v>1490</v>
      </c>
      <c r="E496" s="1" t="s">
        <v>16</v>
      </c>
      <c r="F496" s="1" t="s">
        <v>17</v>
      </c>
      <c r="G496" s="1">
        <v>4</v>
      </c>
      <c r="H496" s="1">
        <v>3431</v>
      </c>
      <c r="I496" s="1">
        <v>13724</v>
      </c>
      <c r="J496" s="1">
        <v>1235.1599999999999</v>
      </c>
      <c r="K496" s="1">
        <v>0.09</v>
      </c>
      <c r="L496" s="1">
        <v>12488.84</v>
      </c>
      <c r="M496" s="1" t="s">
        <v>18</v>
      </c>
    </row>
    <row r="497" spans="1:13" x14ac:dyDescent="0.35">
      <c r="A497" s="1" t="s">
        <v>777</v>
      </c>
      <c r="B497" s="2">
        <v>44931</v>
      </c>
      <c r="C497" s="1" t="s">
        <v>237</v>
      </c>
      <c r="D497" s="1" t="s">
        <v>1492</v>
      </c>
      <c r="E497" s="1" t="s">
        <v>44</v>
      </c>
      <c r="F497" s="1" t="s">
        <v>45</v>
      </c>
      <c r="G497" s="1">
        <v>4</v>
      </c>
      <c r="H497" s="1">
        <v>3315</v>
      </c>
      <c r="I497" s="1">
        <v>13260</v>
      </c>
      <c r="J497" s="1">
        <v>2254.2000000000003</v>
      </c>
      <c r="K497" s="1">
        <v>0.17</v>
      </c>
      <c r="L497" s="1">
        <v>11005.8</v>
      </c>
      <c r="M497" s="1" t="s">
        <v>18</v>
      </c>
    </row>
    <row r="498" spans="1:13" x14ac:dyDescent="0.35">
      <c r="A498" s="1" t="s">
        <v>778</v>
      </c>
      <c r="B498" s="2">
        <v>45139</v>
      </c>
      <c r="C498" s="1" t="s">
        <v>696</v>
      </c>
      <c r="D498" s="1" t="s">
        <v>1492</v>
      </c>
      <c r="E498" s="1" t="s">
        <v>189</v>
      </c>
      <c r="F498" s="1" t="s">
        <v>45</v>
      </c>
      <c r="G498" s="1">
        <v>8</v>
      </c>
      <c r="H498" s="1">
        <v>4885</v>
      </c>
      <c r="I498" s="1">
        <v>39080</v>
      </c>
      <c r="J498" s="1">
        <v>7425.2</v>
      </c>
      <c r="K498" s="1">
        <v>0.19</v>
      </c>
      <c r="L498" s="1">
        <v>31654.799999999999</v>
      </c>
      <c r="M498" s="1" t="s">
        <v>18</v>
      </c>
    </row>
    <row r="499" spans="1:13" x14ac:dyDescent="0.35">
      <c r="A499" s="1" t="s">
        <v>779</v>
      </c>
      <c r="B499" s="2">
        <v>45637</v>
      </c>
      <c r="C499" s="1" t="s">
        <v>24</v>
      </c>
      <c r="D499" s="1" t="s">
        <v>1491</v>
      </c>
      <c r="E499" s="1" t="s">
        <v>57</v>
      </c>
      <c r="F499" s="1" t="s">
        <v>45</v>
      </c>
      <c r="G499" s="1">
        <v>6</v>
      </c>
      <c r="H499" s="1">
        <v>2640</v>
      </c>
      <c r="I499" s="1">
        <v>15840</v>
      </c>
      <c r="J499" s="1">
        <v>950.4</v>
      </c>
      <c r="K499" s="1">
        <v>0.06</v>
      </c>
      <c r="L499" s="1">
        <v>14889.6</v>
      </c>
      <c r="M499" s="1" t="s">
        <v>18</v>
      </c>
    </row>
    <row r="500" spans="1:13" x14ac:dyDescent="0.35">
      <c r="A500" s="1" t="s">
        <v>780</v>
      </c>
      <c r="B500" s="2">
        <v>45392</v>
      </c>
      <c r="C500" s="1" t="s">
        <v>302</v>
      </c>
      <c r="D500" s="1" t="s">
        <v>1491</v>
      </c>
      <c r="E500" s="1" t="s">
        <v>32</v>
      </c>
      <c r="F500" s="1" t="s">
        <v>17</v>
      </c>
      <c r="G500" s="1">
        <v>6</v>
      </c>
      <c r="H500" s="1">
        <v>4009</v>
      </c>
      <c r="I500" s="1">
        <v>24054</v>
      </c>
      <c r="J500" s="1">
        <v>6975.66</v>
      </c>
      <c r="K500" s="1">
        <v>0.28999999999999998</v>
      </c>
      <c r="L500" s="1">
        <v>17078.34</v>
      </c>
      <c r="M500" s="1" t="s">
        <v>18</v>
      </c>
    </row>
    <row r="501" spans="1:13" x14ac:dyDescent="0.35">
      <c r="A501" s="1" t="s">
        <v>781</v>
      </c>
      <c r="B501" s="2">
        <v>45001</v>
      </c>
      <c r="C501" s="1" t="s">
        <v>103</v>
      </c>
      <c r="D501" s="1" t="s">
        <v>1490</v>
      </c>
      <c r="E501" s="1" t="s">
        <v>48</v>
      </c>
      <c r="F501" s="1" t="s">
        <v>17</v>
      </c>
      <c r="G501" s="1">
        <v>6</v>
      </c>
      <c r="H501" s="1">
        <v>4501</v>
      </c>
      <c r="I501" s="1">
        <v>27006</v>
      </c>
      <c r="J501" s="1">
        <v>810.18</v>
      </c>
      <c r="K501" s="1">
        <v>0.03</v>
      </c>
      <c r="L501" s="1">
        <v>26195.82</v>
      </c>
      <c r="M501" s="1" t="s">
        <v>18</v>
      </c>
    </row>
    <row r="502" spans="1:13" x14ac:dyDescent="0.35">
      <c r="A502" s="1" t="s">
        <v>782</v>
      </c>
      <c r="B502" s="2">
        <v>45394</v>
      </c>
      <c r="C502" s="1" t="s">
        <v>747</v>
      </c>
      <c r="D502" s="1" t="s">
        <v>1490</v>
      </c>
      <c r="E502" s="1" t="s">
        <v>189</v>
      </c>
      <c r="F502" s="1" t="s">
        <v>45</v>
      </c>
      <c r="G502" s="1">
        <v>7</v>
      </c>
      <c r="H502" s="1">
        <v>3594</v>
      </c>
      <c r="I502" s="1">
        <v>25158</v>
      </c>
      <c r="J502" s="1">
        <v>251.58</v>
      </c>
      <c r="K502" s="1">
        <v>0.01</v>
      </c>
      <c r="L502" s="1">
        <v>24906.42</v>
      </c>
      <c r="M502" s="1" t="s">
        <v>18</v>
      </c>
    </row>
    <row r="503" spans="1:13" x14ac:dyDescent="0.35">
      <c r="A503" s="1" t="s">
        <v>783</v>
      </c>
      <c r="B503" s="2">
        <v>45279</v>
      </c>
      <c r="C503" s="1" t="s">
        <v>216</v>
      </c>
      <c r="D503" s="1" t="s">
        <v>1493</v>
      </c>
      <c r="E503" s="1" t="s">
        <v>44</v>
      </c>
      <c r="F503" s="1" t="s">
        <v>45</v>
      </c>
      <c r="G503" s="1">
        <v>10</v>
      </c>
      <c r="H503" s="1">
        <v>4857</v>
      </c>
      <c r="I503" s="1">
        <v>48570</v>
      </c>
      <c r="J503" s="1">
        <v>485.7</v>
      </c>
      <c r="K503" s="1">
        <v>0.01</v>
      </c>
      <c r="L503" s="1">
        <v>48084.3</v>
      </c>
      <c r="M503" s="1" t="s">
        <v>18</v>
      </c>
    </row>
    <row r="504" spans="1:13" x14ac:dyDescent="0.35">
      <c r="A504" s="1" t="s">
        <v>784</v>
      </c>
      <c r="B504" s="2">
        <v>44995</v>
      </c>
      <c r="C504" s="1" t="s">
        <v>365</v>
      </c>
      <c r="D504" s="1" t="s">
        <v>1493</v>
      </c>
      <c r="E504" s="1" t="s">
        <v>44</v>
      </c>
      <c r="F504" s="1" t="s">
        <v>45</v>
      </c>
      <c r="G504" s="1">
        <v>4</v>
      </c>
      <c r="H504" s="1">
        <v>4244</v>
      </c>
      <c r="I504" s="1">
        <v>16976</v>
      </c>
      <c r="J504" s="1">
        <v>679.04</v>
      </c>
      <c r="K504" s="1">
        <v>0.04</v>
      </c>
      <c r="L504" s="1">
        <v>16296.96</v>
      </c>
      <c r="M504" s="1" t="s">
        <v>18</v>
      </c>
    </row>
    <row r="505" spans="1:13" x14ac:dyDescent="0.35">
      <c r="A505" s="1" t="s">
        <v>785</v>
      </c>
      <c r="B505" s="2">
        <v>45557</v>
      </c>
      <c r="C505" s="1" t="s">
        <v>429</v>
      </c>
      <c r="D505" s="1" t="s">
        <v>1491</v>
      </c>
      <c r="E505" s="1" t="s">
        <v>26</v>
      </c>
      <c r="F505" s="1" t="s">
        <v>17</v>
      </c>
      <c r="G505" s="1">
        <v>2</v>
      </c>
      <c r="H505" s="1">
        <v>2815</v>
      </c>
      <c r="I505" s="1">
        <v>5630</v>
      </c>
      <c r="J505" s="1">
        <v>56.300000000000004</v>
      </c>
      <c r="K505" s="1">
        <v>0.01</v>
      </c>
      <c r="L505" s="1">
        <v>5573.7</v>
      </c>
      <c r="M505" s="1" t="s">
        <v>18</v>
      </c>
    </row>
    <row r="506" spans="1:13" x14ac:dyDescent="0.35">
      <c r="A506" s="1" t="s">
        <v>786</v>
      </c>
      <c r="B506" s="2">
        <v>45018</v>
      </c>
      <c r="C506" s="1" t="s">
        <v>110</v>
      </c>
      <c r="D506" s="1" t="s">
        <v>1492</v>
      </c>
      <c r="E506" s="1" t="s">
        <v>181</v>
      </c>
      <c r="F506" s="1" t="s">
        <v>22</v>
      </c>
      <c r="G506" s="1">
        <v>1</v>
      </c>
      <c r="H506" s="1">
        <v>2381</v>
      </c>
      <c r="I506" s="1">
        <v>2381</v>
      </c>
      <c r="J506" s="1">
        <v>357.15</v>
      </c>
      <c r="K506" s="1">
        <v>0.15</v>
      </c>
      <c r="L506" s="1">
        <v>2023.85</v>
      </c>
      <c r="M506" s="1" t="s">
        <v>18</v>
      </c>
    </row>
    <row r="507" spans="1:13" x14ac:dyDescent="0.35">
      <c r="A507" s="1" t="s">
        <v>787</v>
      </c>
      <c r="B507" s="2">
        <v>45569</v>
      </c>
      <c r="C507" s="1" t="s">
        <v>142</v>
      </c>
      <c r="D507" s="1" t="s">
        <v>1493</v>
      </c>
      <c r="E507" s="1" t="s">
        <v>26</v>
      </c>
      <c r="F507" s="1" t="s">
        <v>17</v>
      </c>
      <c r="G507" s="1">
        <v>6</v>
      </c>
      <c r="H507" s="1">
        <v>3107</v>
      </c>
      <c r="I507" s="1">
        <v>18642</v>
      </c>
      <c r="J507" s="1">
        <v>2423.46</v>
      </c>
      <c r="K507" s="1">
        <v>0.13</v>
      </c>
      <c r="L507" s="1">
        <v>16218.54</v>
      </c>
      <c r="M507" s="1" t="s">
        <v>18</v>
      </c>
    </row>
    <row r="508" spans="1:13" x14ac:dyDescent="0.35">
      <c r="A508" s="1" t="s">
        <v>788</v>
      </c>
      <c r="B508" s="2">
        <v>45046</v>
      </c>
      <c r="C508" s="1" t="s">
        <v>306</v>
      </c>
      <c r="D508" s="1" t="s">
        <v>1493</v>
      </c>
      <c r="E508" s="1" t="s">
        <v>60</v>
      </c>
      <c r="F508" s="1" t="s">
        <v>45</v>
      </c>
      <c r="G508" s="1">
        <v>7</v>
      </c>
      <c r="H508" s="1">
        <v>3139</v>
      </c>
      <c r="I508" s="1">
        <v>21973</v>
      </c>
      <c r="J508" s="1">
        <v>3076.2200000000003</v>
      </c>
      <c r="K508" s="1">
        <v>0.14000000000000001</v>
      </c>
      <c r="L508" s="1">
        <v>18896.78</v>
      </c>
      <c r="M508" s="1" t="s">
        <v>18</v>
      </c>
    </row>
    <row r="509" spans="1:13" x14ac:dyDescent="0.35">
      <c r="A509" s="1" t="s">
        <v>789</v>
      </c>
      <c r="B509" s="2">
        <v>45451</v>
      </c>
      <c r="C509" s="1" t="s">
        <v>394</v>
      </c>
      <c r="D509" s="1" t="s">
        <v>1491</v>
      </c>
      <c r="E509" s="1" t="s">
        <v>48</v>
      </c>
      <c r="F509" s="1" t="s">
        <v>17</v>
      </c>
      <c r="G509" s="1">
        <v>8</v>
      </c>
      <c r="H509" s="1">
        <v>3315</v>
      </c>
      <c r="I509" s="1">
        <v>26520</v>
      </c>
      <c r="J509" s="1">
        <v>1856.4</v>
      </c>
      <c r="K509" s="1">
        <v>7.0000000000000007E-2</v>
      </c>
      <c r="L509" s="1">
        <v>24663.599999999999</v>
      </c>
      <c r="M509" s="1" t="s">
        <v>18</v>
      </c>
    </row>
    <row r="510" spans="1:13" x14ac:dyDescent="0.35">
      <c r="A510" s="1" t="s">
        <v>790</v>
      </c>
      <c r="B510" s="2">
        <v>45076</v>
      </c>
      <c r="C510" s="1" t="s">
        <v>188</v>
      </c>
      <c r="D510" s="1" t="s">
        <v>1493</v>
      </c>
      <c r="E510" s="1" t="s">
        <v>181</v>
      </c>
      <c r="F510" s="1" t="s">
        <v>22</v>
      </c>
      <c r="G510" s="1">
        <v>10</v>
      </c>
      <c r="H510" s="1">
        <v>3778</v>
      </c>
      <c r="I510" s="1">
        <v>37780</v>
      </c>
      <c r="J510" s="1">
        <v>6800.4</v>
      </c>
      <c r="K510" s="1">
        <v>0.18</v>
      </c>
      <c r="L510" s="1">
        <v>30979.599999999999</v>
      </c>
      <c r="M510" s="1" t="s">
        <v>18</v>
      </c>
    </row>
    <row r="511" spans="1:13" x14ac:dyDescent="0.35">
      <c r="A511" s="1" t="s">
        <v>791</v>
      </c>
      <c r="B511" s="2">
        <v>45597</v>
      </c>
      <c r="C511" s="1" t="s">
        <v>248</v>
      </c>
      <c r="D511" s="1" t="s">
        <v>1492</v>
      </c>
      <c r="E511" s="1" t="s">
        <v>48</v>
      </c>
      <c r="F511" s="1" t="s">
        <v>17</v>
      </c>
      <c r="G511" s="1">
        <v>10</v>
      </c>
      <c r="H511" s="1">
        <v>2354</v>
      </c>
      <c r="I511" s="1">
        <v>23540</v>
      </c>
      <c r="J511" s="1">
        <v>6591.2000000000007</v>
      </c>
      <c r="K511" s="1">
        <v>0.28000000000000003</v>
      </c>
      <c r="L511" s="1">
        <v>16948.8</v>
      </c>
      <c r="M511" s="1" t="s">
        <v>18</v>
      </c>
    </row>
    <row r="512" spans="1:13" x14ac:dyDescent="0.35">
      <c r="A512" s="1" t="s">
        <v>792</v>
      </c>
      <c r="B512" s="2">
        <v>45536</v>
      </c>
      <c r="C512" s="1" t="s">
        <v>344</v>
      </c>
      <c r="D512" s="1" t="s">
        <v>1492</v>
      </c>
      <c r="E512" s="1" t="s">
        <v>181</v>
      </c>
      <c r="F512" s="1" t="s">
        <v>22</v>
      </c>
      <c r="G512" s="1">
        <v>1</v>
      </c>
      <c r="H512" s="1">
        <v>200</v>
      </c>
      <c r="I512" s="1">
        <v>200</v>
      </c>
      <c r="J512" s="1">
        <v>32</v>
      </c>
      <c r="K512" s="1">
        <v>0.16</v>
      </c>
      <c r="L512" s="1">
        <v>168</v>
      </c>
      <c r="M512" s="1" t="s">
        <v>18</v>
      </c>
    </row>
    <row r="513" spans="1:13" x14ac:dyDescent="0.35">
      <c r="A513" s="1" t="s">
        <v>793</v>
      </c>
      <c r="B513" s="2">
        <v>45318</v>
      </c>
      <c r="C513" s="1" t="s">
        <v>794</v>
      </c>
      <c r="D513" s="1" t="s">
        <v>1491</v>
      </c>
      <c r="E513" s="1" t="s">
        <v>181</v>
      </c>
      <c r="F513" s="1" t="s">
        <v>22</v>
      </c>
      <c r="G513" s="1">
        <v>9</v>
      </c>
      <c r="H513" s="1">
        <v>4197</v>
      </c>
      <c r="I513" s="1">
        <v>37773</v>
      </c>
      <c r="J513" s="1">
        <v>0</v>
      </c>
      <c r="K513" s="1">
        <v>0</v>
      </c>
      <c r="L513" s="1">
        <v>37773</v>
      </c>
      <c r="M513" s="1" t="s">
        <v>18</v>
      </c>
    </row>
    <row r="514" spans="1:13" x14ac:dyDescent="0.35">
      <c r="A514" s="1" t="s">
        <v>795</v>
      </c>
      <c r="B514" s="2">
        <v>45436</v>
      </c>
      <c r="C514" s="1" t="s">
        <v>223</v>
      </c>
      <c r="D514" s="1" t="s">
        <v>1492</v>
      </c>
      <c r="E514" s="1" t="s">
        <v>48</v>
      </c>
      <c r="F514" s="1" t="s">
        <v>17</v>
      </c>
      <c r="G514" s="1">
        <v>2</v>
      </c>
      <c r="H514" s="1">
        <v>1532</v>
      </c>
      <c r="I514" s="1">
        <v>3064</v>
      </c>
      <c r="J514" s="1">
        <v>735.36</v>
      </c>
      <c r="K514" s="1">
        <v>0.24</v>
      </c>
      <c r="L514" s="1">
        <v>2328.64</v>
      </c>
      <c r="M514" s="1" t="s">
        <v>18</v>
      </c>
    </row>
    <row r="515" spans="1:13" x14ac:dyDescent="0.35">
      <c r="A515" s="1" t="s">
        <v>796</v>
      </c>
      <c r="B515" s="2">
        <v>45627</v>
      </c>
      <c r="C515" s="1" t="s">
        <v>254</v>
      </c>
      <c r="D515" s="1" t="s">
        <v>1490</v>
      </c>
      <c r="E515" s="1" t="s">
        <v>16</v>
      </c>
      <c r="F515" s="1" t="s">
        <v>17</v>
      </c>
      <c r="G515" s="1">
        <v>4</v>
      </c>
      <c r="H515" s="1">
        <v>4090</v>
      </c>
      <c r="I515" s="1">
        <v>16360</v>
      </c>
      <c r="J515" s="1">
        <v>2617.6</v>
      </c>
      <c r="K515" s="1">
        <v>0.16</v>
      </c>
      <c r="L515" s="1">
        <v>13742.4</v>
      </c>
      <c r="M515" s="1" t="s">
        <v>18</v>
      </c>
    </row>
    <row r="516" spans="1:13" x14ac:dyDescent="0.35">
      <c r="A516" s="1" t="s">
        <v>797</v>
      </c>
      <c r="B516" s="2">
        <v>45535</v>
      </c>
      <c r="C516" s="1" t="s">
        <v>82</v>
      </c>
      <c r="D516" s="1" t="s">
        <v>1490</v>
      </c>
      <c r="E516" s="1" t="s">
        <v>16</v>
      </c>
      <c r="F516" s="1" t="s">
        <v>17</v>
      </c>
      <c r="G516" s="1">
        <v>10</v>
      </c>
      <c r="H516" s="1">
        <v>104</v>
      </c>
      <c r="I516" s="1">
        <v>1040</v>
      </c>
      <c r="J516" s="1">
        <v>280.8</v>
      </c>
      <c r="K516" s="1">
        <v>0.27</v>
      </c>
      <c r="L516" s="1">
        <v>759.2</v>
      </c>
      <c r="M516" s="1" t="s">
        <v>18</v>
      </c>
    </row>
    <row r="517" spans="1:13" x14ac:dyDescent="0.35">
      <c r="A517" s="1" t="s">
        <v>798</v>
      </c>
      <c r="B517" s="2">
        <v>44956</v>
      </c>
      <c r="C517" s="1" t="s">
        <v>605</v>
      </c>
      <c r="D517" s="1" t="s">
        <v>1492</v>
      </c>
      <c r="E517" s="1" t="s">
        <v>60</v>
      </c>
      <c r="F517" s="1" t="s">
        <v>45</v>
      </c>
      <c r="G517" s="1">
        <v>5</v>
      </c>
      <c r="H517" s="1">
        <v>859</v>
      </c>
      <c r="I517" s="1">
        <v>4295</v>
      </c>
      <c r="J517" s="1">
        <v>0</v>
      </c>
      <c r="K517" s="1">
        <v>0</v>
      </c>
      <c r="L517" s="1">
        <v>4295</v>
      </c>
      <c r="M517" s="1" t="s">
        <v>18</v>
      </c>
    </row>
    <row r="518" spans="1:13" x14ac:dyDescent="0.35">
      <c r="A518" s="1" t="s">
        <v>799</v>
      </c>
      <c r="B518" s="2">
        <v>45233</v>
      </c>
      <c r="C518" s="1" t="s">
        <v>262</v>
      </c>
      <c r="D518" s="1" t="s">
        <v>1490</v>
      </c>
      <c r="E518" s="1" t="s">
        <v>16</v>
      </c>
      <c r="F518" s="1" t="s">
        <v>17</v>
      </c>
      <c r="G518" s="1">
        <v>8</v>
      </c>
      <c r="H518" s="1">
        <v>478</v>
      </c>
      <c r="I518" s="1">
        <v>3824</v>
      </c>
      <c r="J518" s="1">
        <v>229.44</v>
      </c>
      <c r="K518" s="1">
        <v>0.06</v>
      </c>
      <c r="L518" s="1">
        <v>3594.56</v>
      </c>
      <c r="M518" s="1" t="s">
        <v>18</v>
      </c>
    </row>
    <row r="519" spans="1:13" x14ac:dyDescent="0.35">
      <c r="A519" s="1" t="s">
        <v>800</v>
      </c>
      <c r="B519" s="2">
        <v>45384</v>
      </c>
      <c r="C519" s="1" t="s">
        <v>467</v>
      </c>
      <c r="D519" s="1" t="s">
        <v>1492</v>
      </c>
      <c r="E519" s="1" t="s">
        <v>189</v>
      </c>
      <c r="F519" s="1" t="s">
        <v>45</v>
      </c>
      <c r="G519" s="1">
        <v>8</v>
      </c>
      <c r="H519" s="1">
        <v>4566</v>
      </c>
      <c r="I519" s="1">
        <v>36528</v>
      </c>
      <c r="J519" s="1">
        <v>8036.16</v>
      </c>
      <c r="K519" s="1">
        <v>0.22</v>
      </c>
      <c r="L519" s="1">
        <v>28491.84</v>
      </c>
      <c r="M519" s="1" t="s">
        <v>18</v>
      </c>
    </row>
    <row r="520" spans="1:13" x14ac:dyDescent="0.35">
      <c r="A520" s="1" t="s">
        <v>801</v>
      </c>
      <c r="B520" s="2">
        <v>45415</v>
      </c>
      <c r="C520" s="1" t="s">
        <v>427</v>
      </c>
      <c r="D520" s="1" t="s">
        <v>1491</v>
      </c>
      <c r="E520" s="1" t="s">
        <v>181</v>
      </c>
      <c r="F520" s="1" t="s">
        <v>22</v>
      </c>
      <c r="G520" s="1">
        <v>6</v>
      </c>
      <c r="H520" s="1">
        <v>4846</v>
      </c>
      <c r="I520" s="1">
        <v>29076</v>
      </c>
      <c r="J520" s="1">
        <v>2326.08</v>
      </c>
      <c r="K520" s="1">
        <v>0.08</v>
      </c>
      <c r="L520" s="1">
        <v>26749.919999999998</v>
      </c>
      <c r="M520" s="1" t="s">
        <v>18</v>
      </c>
    </row>
    <row r="521" spans="1:13" x14ac:dyDescent="0.35">
      <c r="A521" s="1" t="s">
        <v>802</v>
      </c>
      <c r="B521" s="2">
        <v>45512</v>
      </c>
      <c r="C521" s="1" t="s">
        <v>239</v>
      </c>
      <c r="D521" s="1" t="s">
        <v>1490</v>
      </c>
      <c r="E521" s="1" t="s">
        <v>16</v>
      </c>
      <c r="F521" s="1" t="s">
        <v>17</v>
      </c>
      <c r="G521" s="1">
        <v>1</v>
      </c>
      <c r="H521" s="1">
        <v>1167</v>
      </c>
      <c r="I521" s="1">
        <v>1167</v>
      </c>
      <c r="J521" s="1">
        <v>0</v>
      </c>
      <c r="K521" s="1">
        <v>0</v>
      </c>
      <c r="L521" s="1">
        <v>1167</v>
      </c>
      <c r="M521" s="1" t="s">
        <v>18</v>
      </c>
    </row>
    <row r="522" spans="1:13" x14ac:dyDescent="0.35">
      <c r="A522" s="1" t="s">
        <v>803</v>
      </c>
      <c r="B522" s="2">
        <v>45416</v>
      </c>
      <c r="C522" s="1" t="s">
        <v>507</v>
      </c>
      <c r="D522" s="1" t="s">
        <v>1490</v>
      </c>
      <c r="E522" s="1" t="s">
        <v>189</v>
      </c>
      <c r="F522" s="1" t="s">
        <v>45</v>
      </c>
      <c r="G522" s="1">
        <v>3</v>
      </c>
      <c r="H522" s="1">
        <v>510</v>
      </c>
      <c r="I522" s="1">
        <v>1530</v>
      </c>
      <c r="J522" s="1">
        <v>30.6</v>
      </c>
      <c r="K522" s="1">
        <v>0.02</v>
      </c>
      <c r="L522" s="1">
        <v>1499.4</v>
      </c>
      <c r="M522" s="1" t="s">
        <v>18</v>
      </c>
    </row>
    <row r="523" spans="1:13" x14ac:dyDescent="0.35">
      <c r="A523" s="1" t="s">
        <v>804</v>
      </c>
      <c r="B523" s="2">
        <v>45634</v>
      </c>
      <c r="C523" s="1" t="s">
        <v>201</v>
      </c>
      <c r="D523" s="1" t="s">
        <v>1490</v>
      </c>
      <c r="E523" s="1" t="s">
        <v>16</v>
      </c>
      <c r="F523" s="1" t="s">
        <v>17</v>
      </c>
      <c r="G523" s="1">
        <v>1</v>
      </c>
      <c r="H523" s="1">
        <v>2522</v>
      </c>
      <c r="I523" s="1">
        <v>2522</v>
      </c>
      <c r="J523" s="1">
        <v>453.96</v>
      </c>
      <c r="K523" s="1">
        <v>0.18</v>
      </c>
      <c r="L523" s="1">
        <v>2068.04</v>
      </c>
      <c r="M523" s="1" t="s">
        <v>18</v>
      </c>
    </row>
    <row r="524" spans="1:13" x14ac:dyDescent="0.35">
      <c r="A524" s="1" t="s">
        <v>805</v>
      </c>
      <c r="B524" s="2">
        <v>45341</v>
      </c>
      <c r="C524" s="1" t="s">
        <v>271</v>
      </c>
      <c r="D524" s="1" t="s">
        <v>1492</v>
      </c>
      <c r="E524" s="1" t="s">
        <v>189</v>
      </c>
      <c r="F524" s="1" t="s">
        <v>45</v>
      </c>
      <c r="G524" s="1">
        <v>7</v>
      </c>
      <c r="H524" s="1">
        <v>371</v>
      </c>
      <c r="I524" s="1">
        <v>2597</v>
      </c>
      <c r="J524" s="1">
        <v>571.34</v>
      </c>
      <c r="K524" s="1">
        <v>0.22</v>
      </c>
      <c r="L524" s="1">
        <v>2025.66</v>
      </c>
      <c r="M524" s="1" t="s">
        <v>18</v>
      </c>
    </row>
    <row r="525" spans="1:13" x14ac:dyDescent="0.35">
      <c r="A525" s="1" t="s">
        <v>806</v>
      </c>
      <c r="B525" s="2">
        <v>44941</v>
      </c>
      <c r="C525" s="1" t="s">
        <v>239</v>
      </c>
      <c r="D525" s="1" t="s">
        <v>1490</v>
      </c>
      <c r="E525" s="1" t="s">
        <v>32</v>
      </c>
      <c r="F525" s="1" t="s">
        <v>17</v>
      </c>
      <c r="G525" s="1">
        <v>5</v>
      </c>
      <c r="H525" s="1">
        <v>4367</v>
      </c>
      <c r="I525" s="1">
        <v>21835</v>
      </c>
      <c r="J525" s="1">
        <v>2620.1999999999998</v>
      </c>
      <c r="K525" s="1">
        <v>0.12</v>
      </c>
      <c r="L525" s="1">
        <v>19214.8</v>
      </c>
      <c r="M525" s="1" t="s">
        <v>18</v>
      </c>
    </row>
    <row r="526" spans="1:13" x14ac:dyDescent="0.35">
      <c r="A526" s="1" t="s">
        <v>807</v>
      </c>
      <c r="B526" s="2">
        <v>45074</v>
      </c>
      <c r="C526" s="1" t="s">
        <v>118</v>
      </c>
      <c r="D526" s="1" t="s">
        <v>1492</v>
      </c>
      <c r="E526" s="1" t="s">
        <v>48</v>
      </c>
      <c r="F526" s="1" t="s">
        <v>17</v>
      </c>
      <c r="G526" s="1">
        <v>4</v>
      </c>
      <c r="H526" s="1">
        <v>2651</v>
      </c>
      <c r="I526" s="1">
        <v>10604</v>
      </c>
      <c r="J526" s="1">
        <v>0</v>
      </c>
      <c r="K526" s="1">
        <v>0</v>
      </c>
      <c r="L526" s="1">
        <v>10604</v>
      </c>
      <c r="M526" s="1" t="s">
        <v>18</v>
      </c>
    </row>
    <row r="527" spans="1:13" x14ac:dyDescent="0.35">
      <c r="A527" s="1" t="s">
        <v>808</v>
      </c>
      <c r="B527" s="2">
        <v>44956</v>
      </c>
      <c r="C527" s="1" t="s">
        <v>642</v>
      </c>
      <c r="D527" s="1" t="s">
        <v>1493</v>
      </c>
      <c r="E527" s="1" t="s">
        <v>181</v>
      </c>
      <c r="F527" s="1" t="s">
        <v>22</v>
      </c>
      <c r="G527" s="1">
        <v>2</v>
      </c>
      <c r="H527" s="1">
        <v>1130</v>
      </c>
      <c r="I527" s="1">
        <v>2260</v>
      </c>
      <c r="J527" s="1">
        <v>113</v>
      </c>
      <c r="K527" s="1">
        <v>0.05</v>
      </c>
      <c r="L527" s="1">
        <v>2147</v>
      </c>
      <c r="M527" s="1" t="s">
        <v>18</v>
      </c>
    </row>
    <row r="528" spans="1:13" x14ac:dyDescent="0.35">
      <c r="A528" s="1" t="s">
        <v>809</v>
      </c>
      <c r="B528" s="2">
        <v>45001</v>
      </c>
      <c r="C528" s="1" t="s">
        <v>193</v>
      </c>
      <c r="D528" s="1" t="s">
        <v>1490</v>
      </c>
      <c r="E528" s="1" t="s">
        <v>48</v>
      </c>
      <c r="F528" s="1" t="s">
        <v>17</v>
      </c>
      <c r="G528" s="1">
        <v>6</v>
      </c>
      <c r="H528" s="1">
        <v>1464</v>
      </c>
      <c r="I528" s="1">
        <v>8784</v>
      </c>
      <c r="J528" s="1">
        <v>439.20000000000005</v>
      </c>
      <c r="K528" s="1">
        <v>0.05</v>
      </c>
      <c r="L528" s="1">
        <v>8344.7999999999993</v>
      </c>
      <c r="M528" s="1" t="s">
        <v>18</v>
      </c>
    </row>
    <row r="529" spans="1:13" x14ac:dyDescent="0.35">
      <c r="A529" s="1" t="s">
        <v>810</v>
      </c>
      <c r="B529" s="2">
        <v>45035</v>
      </c>
      <c r="C529" s="1" t="s">
        <v>493</v>
      </c>
      <c r="D529" s="1" t="s">
        <v>1491</v>
      </c>
      <c r="E529" s="1" t="s">
        <v>48</v>
      </c>
      <c r="F529" s="1" t="s">
        <v>17</v>
      </c>
      <c r="G529" s="1">
        <v>7</v>
      </c>
      <c r="H529" s="1">
        <v>2489</v>
      </c>
      <c r="I529" s="1">
        <v>17423</v>
      </c>
      <c r="J529" s="1">
        <v>4878.4400000000005</v>
      </c>
      <c r="K529" s="1">
        <v>0.28000000000000003</v>
      </c>
      <c r="L529" s="1">
        <v>12544.56</v>
      </c>
      <c r="M529" s="1" t="s">
        <v>18</v>
      </c>
    </row>
    <row r="530" spans="1:13" x14ac:dyDescent="0.35">
      <c r="A530" s="1" t="s">
        <v>811</v>
      </c>
      <c r="B530" s="2">
        <v>44972</v>
      </c>
      <c r="C530" s="1" t="s">
        <v>812</v>
      </c>
      <c r="D530" s="1" t="s">
        <v>1490</v>
      </c>
      <c r="E530" s="1" t="s">
        <v>189</v>
      </c>
      <c r="F530" s="1" t="s">
        <v>45</v>
      </c>
      <c r="G530" s="1">
        <v>7</v>
      </c>
      <c r="H530" s="1">
        <v>2271</v>
      </c>
      <c r="I530" s="1">
        <v>15897</v>
      </c>
      <c r="J530" s="1">
        <v>1271.76</v>
      </c>
      <c r="K530" s="1">
        <v>0.08</v>
      </c>
      <c r="L530" s="1">
        <v>14625.24</v>
      </c>
      <c r="M530" s="1" t="s">
        <v>18</v>
      </c>
    </row>
    <row r="531" spans="1:13" x14ac:dyDescent="0.35">
      <c r="A531" s="1" t="s">
        <v>813</v>
      </c>
      <c r="B531" s="2">
        <v>45624</v>
      </c>
      <c r="C531" s="1" t="s">
        <v>814</v>
      </c>
      <c r="D531" s="1" t="s">
        <v>1493</v>
      </c>
      <c r="E531" s="1" t="s">
        <v>189</v>
      </c>
      <c r="F531" s="1" t="s">
        <v>45</v>
      </c>
      <c r="G531" s="1">
        <v>3</v>
      </c>
      <c r="H531" s="1">
        <v>929</v>
      </c>
      <c r="I531" s="1">
        <v>2787</v>
      </c>
      <c r="J531" s="1">
        <v>445.92</v>
      </c>
      <c r="K531" s="1">
        <v>0.16</v>
      </c>
      <c r="L531" s="1">
        <v>2341.08</v>
      </c>
      <c r="M531" s="1" t="s">
        <v>18</v>
      </c>
    </row>
    <row r="532" spans="1:13" x14ac:dyDescent="0.35">
      <c r="A532" s="1" t="s">
        <v>815</v>
      </c>
      <c r="B532" s="2">
        <v>45231</v>
      </c>
      <c r="C532" s="1" t="s">
        <v>227</v>
      </c>
      <c r="D532" s="1" t="s">
        <v>1491</v>
      </c>
      <c r="E532" s="1" t="s">
        <v>189</v>
      </c>
      <c r="F532" s="1" t="s">
        <v>45</v>
      </c>
      <c r="G532" s="1">
        <v>1</v>
      </c>
      <c r="H532" s="1">
        <v>155</v>
      </c>
      <c r="I532" s="1">
        <v>155</v>
      </c>
      <c r="J532" s="1">
        <v>34.1</v>
      </c>
      <c r="K532" s="1">
        <v>0.22</v>
      </c>
      <c r="L532" s="1">
        <v>120.9</v>
      </c>
      <c r="M532" s="1" t="s">
        <v>18</v>
      </c>
    </row>
    <row r="533" spans="1:13" x14ac:dyDescent="0.35">
      <c r="A533" s="1" t="s">
        <v>816</v>
      </c>
      <c r="B533" s="2">
        <v>45195</v>
      </c>
      <c r="C533" s="1" t="s">
        <v>208</v>
      </c>
      <c r="D533" s="1" t="s">
        <v>1490</v>
      </c>
      <c r="E533" s="1" t="s">
        <v>32</v>
      </c>
      <c r="F533" s="1" t="s">
        <v>17</v>
      </c>
      <c r="G533" s="1">
        <v>9</v>
      </c>
      <c r="H533" s="1">
        <v>4277</v>
      </c>
      <c r="I533" s="1">
        <v>38493</v>
      </c>
      <c r="J533" s="1">
        <v>5004.09</v>
      </c>
      <c r="K533" s="1">
        <v>0.13</v>
      </c>
      <c r="L533" s="1">
        <v>33488.910000000003</v>
      </c>
      <c r="M533" s="1" t="s">
        <v>18</v>
      </c>
    </row>
    <row r="534" spans="1:13" x14ac:dyDescent="0.35">
      <c r="A534" s="1" t="s">
        <v>817</v>
      </c>
      <c r="B534" s="2">
        <v>45052</v>
      </c>
      <c r="C534" s="1" t="s">
        <v>214</v>
      </c>
      <c r="D534" s="1" t="s">
        <v>1491</v>
      </c>
      <c r="E534" s="1" t="s">
        <v>26</v>
      </c>
      <c r="F534" s="1" t="s">
        <v>17</v>
      </c>
      <c r="G534" s="1">
        <v>2</v>
      </c>
      <c r="H534" s="1">
        <v>540</v>
      </c>
      <c r="I534" s="1">
        <v>1080</v>
      </c>
      <c r="J534" s="1">
        <v>10.8</v>
      </c>
      <c r="K534" s="1">
        <v>0.01</v>
      </c>
      <c r="L534" s="1">
        <v>1069.2</v>
      </c>
      <c r="M534" s="1" t="s">
        <v>18</v>
      </c>
    </row>
    <row r="535" spans="1:13" x14ac:dyDescent="0.35">
      <c r="A535" s="1" t="s">
        <v>818</v>
      </c>
      <c r="B535" s="2">
        <v>45035</v>
      </c>
      <c r="C535" s="1" t="s">
        <v>819</v>
      </c>
      <c r="D535" s="1" t="s">
        <v>1490</v>
      </c>
      <c r="E535" s="1" t="s">
        <v>44</v>
      </c>
      <c r="F535" s="1" t="s">
        <v>45</v>
      </c>
      <c r="G535" s="1">
        <v>6</v>
      </c>
      <c r="H535" s="1">
        <v>3578</v>
      </c>
      <c r="I535" s="1">
        <v>21468</v>
      </c>
      <c r="J535" s="1">
        <v>6440.4</v>
      </c>
      <c r="K535" s="1">
        <v>0.3</v>
      </c>
      <c r="L535" s="1">
        <v>15027.6</v>
      </c>
      <c r="M535" s="1" t="s">
        <v>18</v>
      </c>
    </row>
    <row r="536" spans="1:13" x14ac:dyDescent="0.35">
      <c r="A536" s="1" t="s">
        <v>820</v>
      </c>
      <c r="B536" s="2">
        <v>45381</v>
      </c>
      <c r="C536" s="1" t="s">
        <v>163</v>
      </c>
      <c r="D536" s="1" t="s">
        <v>1490</v>
      </c>
      <c r="E536" s="1" t="s">
        <v>21</v>
      </c>
      <c r="F536" s="1" t="s">
        <v>22</v>
      </c>
      <c r="G536" s="1">
        <v>6</v>
      </c>
      <c r="H536" s="1">
        <v>4738</v>
      </c>
      <c r="I536" s="1">
        <v>28428</v>
      </c>
      <c r="J536" s="1">
        <v>8244.119999999999</v>
      </c>
      <c r="K536" s="1">
        <v>0.28999999999999998</v>
      </c>
      <c r="L536" s="1">
        <v>20183.88</v>
      </c>
      <c r="M536" s="1" t="s">
        <v>18</v>
      </c>
    </row>
    <row r="537" spans="1:13" x14ac:dyDescent="0.35">
      <c r="A537" s="1" t="s">
        <v>821</v>
      </c>
      <c r="B537" s="2">
        <v>45409</v>
      </c>
      <c r="C537" s="1" t="s">
        <v>570</v>
      </c>
      <c r="D537" s="1" t="s">
        <v>1493</v>
      </c>
      <c r="E537" s="1" t="s">
        <v>39</v>
      </c>
      <c r="F537" s="1" t="s">
        <v>22</v>
      </c>
      <c r="G537" s="1">
        <v>5</v>
      </c>
      <c r="H537" s="1">
        <v>1668</v>
      </c>
      <c r="I537" s="1">
        <v>8340</v>
      </c>
      <c r="J537" s="1">
        <v>2085</v>
      </c>
      <c r="K537" s="1">
        <v>0.25</v>
      </c>
      <c r="L537" s="1">
        <v>6255</v>
      </c>
      <c r="M537" s="1" t="s">
        <v>18</v>
      </c>
    </row>
    <row r="538" spans="1:13" x14ac:dyDescent="0.35">
      <c r="A538" s="1" t="s">
        <v>822</v>
      </c>
      <c r="B538" s="2">
        <v>45343</v>
      </c>
      <c r="C538" s="1" t="s">
        <v>453</v>
      </c>
      <c r="D538" s="1" t="s">
        <v>1490</v>
      </c>
      <c r="E538" s="1" t="s">
        <v>60</v>
      </c>
      <c r="F538" s="1" t="s">
        <v>45</v>
      </c>
      <c r="G538" s="1">
        <v>2</v>
      </c>
      <c r="H538" s="1">
        <v>1160</v>
      </c>
      <c r="I538" s="1">
        <v>2320</v>
      </c>
      <c r="J538" s="1">
        <v>162.4</v>
      </c>
      <c r="K538" s="1">
        <v>7.0000000000000007E-2</v>
      </c>
      <c r="L538" s="1">
        <v>2157.6</v>
      </c>
      <c r="M538" s="1" t="s">
        <v>18</v>
      </c>
    </row>
    <row r="539" spans="1:13" x14ac:dyDescent="0.35">
      <c r="A539" s="1" t="s">
        <v>823</v>
      </c>
      <c r="B539" s="2">
        <v>45396</v>
      </c>
      <c r="C539" s="1" t="s">
        <v>330</v>
      </c>
      <c r="D539" s="1" t="s">
        <v>1490</v>
      </c>
      <c r="E539" s="1" t="s">
        <v>26</v>
      </c>
      <c r="F539" s="1" t="s">
        <v>17</v>
      </c>
      <c r="G539" s="1">
        <v>3</v>
      </c>
      <c r="H539" s="1">
        <v>2977</v>
      </c>
      <c r="I539" s="1">
        <v>8931</v>
      </c>
      <c r="J539" s="1">
        <v>1518.2700000000002</v>
      </c>
      <c r="K539" s="1">
        <v>0.17</v>
      </c>
      <c r="L539" s="1">
        <v>7412.73</v>
      </c>
      <c r="M539" s="1" t="s">
        <v>18</v>
      </c>
    </row>
    <row r="540" spans="1:13" x14ac:dyDescent="0.35">
      <c r="A540" s="1" t="s">
        <v>824</v>
      </c>
      <c r="B540" s="2">
        <v>45382</v>
      </c>
      <c r="C540" s="1" t="s">
        <v>146</v>
      </c>
      <c r="D540" s="1" t="s">
        <v>1491</v>
      </c>
      <c r="E540" s="1" t="s">
        <v>16</v>
      </c>
      <c r="F540" s="1" t="s">
        <v>17</v>
      </c>
      <c r="G540" s="1">
        <v>2</v>
      </c>
      <c r="H540" s="1">
        <v>3660</v>
      </c>
      <c r="I540" s="1">
        <v>7320</v>
      </c>
      <c r="J540" s="1">
        <v>366</v>
      </c>
      <c r="K540" s="1">
        <v>0.05</v>
      </c>
      <c r="L540" s="1">
        <v>6954</v>
      </c>
      <c r="M540" s="1" t="s">
        <v>18</v>
      </c>
    </row>
    <row r="541" spans="1:13" x14ac:dyDescent="0.35">
      <c r="A541" s="1" t="s">
        <v>825</v>
      </c>
      <c r="B541" s="2">
        <v>45419</v>
      </c>
      <c r="C541" s="1" t="s">
        <v>93</v>
      </c>
      <c r="D541" s="1" t="s">
        <v>1492</v>
      </c>
      <c r="E541" s="1" t="s">
        <v>26</v>
      </c>
      <c r="F541" s="1" t="s">
        <v>17</v>
      </c>
      <c r="G541" s="1">
        <v>7</v>
      </c>
      <c r="H541" s="1">
        <v>3712</v>
      </c>
      <c r="I541" s="1">
        <v>25984</v>
      </c>
      <c r="J541" s="1">
        <v>6496</v>
      </c>
      <c r="K541" s="1">
        <v>0.25</v>
      </c>
      <c r="L541" s="1">
        <v>19488</v>
      </c>
      <c r="M541" s="1" t="s">
        <v>18</v>
      </c>
    </row>
    <row r="542" spans="1:13" x14ac:dyDescent="0.35">
      <c r="A542" s="1" t="s">
        <v>826</v>
      </c>
      <c r="B542" s="2">
        <v>44983</v>
      </c>
      <c r="C542" s="1" t="s">
        <v>507</v>
      </c>
      <c r="D542" s="1" t="s">
        <v>1490</v>
      </c>
      <c r="E542" s="1" t="s">
        <v>44</v>
      </c>
      <c r="F542" s="1" t="s">
        <v>45</v>
      </c>
      <c r="G542" s="1">
        <v>5</v>
      </c>
      <c r="H542" s="1">
        <v>4163</v>
      </c>
      <c r="I542" s="1">
        <v>20815</v>
      </c>
      <c r="J542" s="1">
        <v>3954.85</v>
      </c>
      <c r="K542" s="1">
        <v>0.19</v>
      </c>
      <c r="L542" s="1">
        <v>16860.150000000001</v>
      </c>
      <c r="M542" s="1" t="s">
        <v>18</v>
      </c>
    </row>
    <row r="543" spans="1:13" x14ac:dyDescent="0.35">
      <c r="A543" s="1" t="s">
        <v>827</v>
      </c>
      <c r="B543" s="2">
        <v>45306</v>
      </c>
      <c r="C543" s="1" t="s">
        <v>239</v>
      </c>
      <c r="D543" s="1" t="s">
        <v>1490</v>
      </c>
      <c r="E543" s="1" t="s">
        <v>181</v>
      </c>
      <c r="F543" s="1" t="s">
        <v>22</v>
      </c>
      <c r="G543" s="1">
        <v>1</v>
      </c>
      <c r="H543" s="1">
        <v>2706</v>
      </c>
      <c r="I543" s="1">
        <v>2706</v>
      </c>
      <c r="J543" s="1">
        <v>54.120000000000005</v>
      </c>
      <c r="K543" s="1">
        <v>0.02</v>
      </c>
      <c r="L543" s="1">
        <v>2651.88</v>
      </c>
      <c r="M543" s="1" t="s">
        <v>18</v>
      </c>
    </row>
    <row r="544" spans="1:13" x14ac:dyDescent="0.35">
      <c r="A544" s="1" t="s">
        <v>828</v>
      </c>
      <c r="B544" s="2">
        <v>45060</v>
      </c>
      <c r="C544" s="1" t="s">
        <v>201</v>
      </c>
      <c r="D544" s="1" t="s">
        <v>1490</v>
      </c>
      <c r="E544" s="1" t="s">
        <v>16</v>
      </c>
      <c r="F544" s="1" t="s">
        <v>17</v>
      </c>
      <c r="G544" s="1">
        <v>6</v>
      </c>
      <c r="H544" s="1">
        <v>4197</v>
      </c>
      <c r="I544" s="1">
        <v>25182</v>
      </c>
      <c r="J544" s="1">
        <v>6547.3200000000006</v>
      </c>
      <c r="K544" s="1">
        <v>0.26</v>
      </c>
      <c r="L544" s="1">
        <v>18634.68</v>
      </c>
      <c r="M544" s="1" t="s">
        <v>18</v>
      </c>
    </row>
    <row r="545" spans="1:13" x14ac:dyDescent="0.35">
      <c r="A545" s="1" t="s">
        <v>829</v>
      </c>
      <c r="B545" s="2">
        <v>45185</v>
      </c>
      <c r="C545" s="1" t="s">
        <v>830</v>
      </c>
      <c r="D545" s="1" t="s">
        <v>1493</v>
      </c>
      <c r="E545" s="1" t="s">
        <v>29</v>
      </c>
      <c r="F545" s="1" t="s">
        <v>22</v>
      </c>
      <c r="G545" s="1">
        <v>6</v>
      </c>
      <c r="H545" s="1">
        <v>4455</v>
      </c>
      <c r="I545" s="1">
        <v>26730</v>
      </c>
      <c r="J545" s="1">
        <v>534.6</v>
      </c>
      <c r="K545" s="1">
        <v>0.02</v>
      </c>
      <c r="L545" s="1">
        <v>26195.4</v>
      </c>
      <c r="M545" s="1" t="s">
        <v>18</v>
      </c>
    </row>
    <row r="546" spans="1:13" x14ac:dyDescent="0.35">
      <c r="A546" s="1" t="s">
        <v>831</v>
      </c>
      <c r="B546" s="2">
        <v>45339</v>
      </c>
      <c r="C546" s="1" t="s">
        <v>78</v>
      </c>
      <c r="D546" s="1" t="s">
        <v>1493</v>
      </c>
      <c r="E546" s="1" t="s">
        <v>29</v>
      </c>
      <c r="F546" s="1" t="s">
        <v>22</v>
      </c>
      <c r="G546" s="1">
        <v>5</v>
      </c>
      <c r="H546" s="1">
        <v>4262</v>
      </c>
      <c r="I546" s="1">
        <v>21310</v>
      </c>
      <c r="J546" s="1">
        <v>5966.8</v>
      </c>
      <c r="K546" s="1">
        <v>0.28000000000000003</v>
      </c>
      <c r="L546" s="1">
        <v>15343.2</v>
      </c>
      <c r="M546" s="1" t="s">
        <v>18</v>
      </c>
    </row>
    <row r="547" spans="1:13" x14ac:dyDescent="0.35">
      <c r="A547" s="1" t="s">
        <v>832</v>
      </c>
      <c r="B547" s="2">
        <v>45340</v>
      </c>
      <c r="C547" s="1" t="s">
        <v>252</v>
      </c>
      <c r="D547" s="1" t="s">
        <v>1492</v>
      </c>
      <c r="E547" s="1" t="s">
        <v>32</v>
      </c>
      <c r="F547" s="1" t="s">
        <v>17</v>
      </c>
      <c r="G547" s="1">
        <v>1</v>
      </c>
      <c r="H547" s="1">
        <v>4953</v>
      </c>
      <c r="I547" s="1">
        <v>4953</v>
      </c>
      <c r="J547" s="1">
        <v>445.77</v>
      </c>
      <c r="K547" s="1">
        <v>0.09</v>
      </c>
      <c r="L547" s="1">
        <v>4507.2299999999996</v>
      </c>
      <c r="M547" s="1" t="s">
        <v>18</v>
      </c>
    </row>
    <row r="548" spans="1:13" x14ac:dyDescent="0.35">
      <c r="A548" s="1" t="s">
        <v>833</v>
      </c>
      <c r="B548" s="2">
        <v>45176</v>
      </c>
      <c r="C548" s="1" t="s">
        <v>834</v>
      </c>
      <c r="D548" s="1" t="s">
        <v>1490</v>
      </c>
      <c r="E548" s="1" t="s">
        <v>26</v>
      </c>
      <c r="F548" s="1" t="s">
        <v>17</v>
      </c>
      <c r="G548" s="1">
        <v>7</v>
      </c>
      <c r="H548" s="1">
        <v>478</v>
      </c>
      <c r="I548" s="1">
        <v>3346</v>
      </c>
      <c r="J548" s="1">
        <v>368.06</v>
      </c>
      <c r="K548" s="1">
        <v>0.11</v>
      </c>
      <c r="L548" s="1">
        <v>2977.94</v>
      </c>
      <c r="M548" s="1" t="s">
        <v>18</v>
      </c>
    </row>
    <row r="549" spans="1:13" x14ac:dyDescent="0.35">
      <c r="A549" s="1" t="s">
        <v>835</v>
      </c>
      <c r="B549" s="2">
        <v>45522</v>
      </c>
      <c r="C549" s="1" t="s">
        <v>168</v>
      </c>
      <c r="D549" s="1" t="s">
        <v>1492</v>
      </c>
      <c r="E549" s="1" t="s">
        <v>32</v>
      </c>
      <c r="F549" s="1" t="s">
        <v>17</v>
      </c>
      <c r="G549" s="1">
        <v>7</v>
      </c>
      <c r="H549" s="1">
        <v>4119</v>
      </c>
      <c r="I549" s="1">
        <v>28833</v>
      </c>
      <c r="J549" s="1">
        <v>1729.98</v>
      </c>
      <c r="K549" s="1">
        <v>0.06</v>
      </c>
      <c r="L549" s="1">
        <v>27103.02</v>
      </c>
      <c r="M549" s="1" t="s">
        <v>18</v>
      </c>
    </row>
    <row r="550" spans="1:13" x14ac:dyDescent="0.35">
      <c r="A550" s="1" t="s">
        <v>836</v>
      </c>
      <c r="B550" s="2">
        <v>44995</v>
      </c>
      <c r="C550" s="1" t="s">
        <v>50</v>
      </c>
      <c r="D550" s="1" t="s">
        <v>1492</v>
      </c>
      <c r="E550" s="1" t="s">
        <v>29</v>
      </c>
      <c r="F550" s="1" t="s">
        <v>22</v>
      </c>
      <c r="G550" s="1">
        <v>1</v>
      </c>
      <c r="H550" s="1">
        <v>3398</v>
      </c>
      <c r="I550" s="1">
        <v>3398</v>
      </c>
      <c r="J550" s="1">
        <v>33.980000000000004</v>
      </c>
      <c r="K550" s="1">
        <v>0.01</v>
      </c>
      <c r="L550" s="1">
        <v>3364.02</v>
      </c>
      <c r="M550" s="1" t="s">
        <v>18</v>
      </c>
    </row>
    <row r="551" spans="1:13" x14ac:dyDescent="0.35">
      <c r="A551" s="1" t="s">
        <v>837</v>
      </c>
      <c r="B551" s="2">
        <v>44979</v>
      </c>
      <c r="C551" s="1" t="s">
        <v>180</v>
      </c>
      <c r="D551" s="1" t="s">
        <v>1490</v>
      </c>
      <c r="E551" s="1" t="s">
        <v>44</v>
      </c>
      <c r="F551" s="1" t="s">
        <v>45</v>
      </c>
      <c r="G551" s="1">
        <v>7</v>
      </c>
      <c r="H551" s="1">
        <v>1643</v>
      </c>
      <c r="I551" s="1">
        <v>11501</v>
      </c>
      <c r="J551" s="1">
        <v>1725.1499999999999</v>
      </c>
      <c r="K551" s="1">
        <v>0.15</v>
      </c>
      <c r="L551" s="1">
        <v>9775.85</v>
      </c>
      <c r="M551" s="1" t="s">
        <v>18</v>
      </c>
    </row>
    <row r="552" spans="1:13" x14ac:dyDescent="0.35">
      <c r="A552" s="1" t="s">
        <v>838</v>
      </c>
      <c r="B552" s="2">
        <v>45539</v>
      </c>
      <c r="C552" s="1" t="s">
        <v>374</v>
      </c>
      <c r="D552" s="1" t="s">
        <v>1490</v>
      </c>
      <c r="E552" s="1" t="s">
        <v>29</v>
      </c>
      <c r="F552" s="1" t="s">
        <v>22</v>
      </c>
      <c r="G552" s="1">
        <v>4</v>
      </c>
      <c r="H552" s="1">
        <v>4968</v>
      </c>
      <c r="I552" s="1">
        <v>19872</v>
      </c>
      <c r="J552" s="1">
        <v>596.16</v>
      </c>
      <c r="K552" s="1">
        <v>0.03</v>
      </c>
      <c r="L552" s="1">
        <v>19275.84</v>
      </c>
      <c r="M552" s="1" t="s">
        <v>18</v>
      </c>
    </row>
    <row r="553" spans="1:13" x14ac:dyDescent="0.35">
      <c r="A553" s="1" t="s">
        <v>839</v>
      </c>
      <c r="B553" s="2">
        <v>45431</v>
      </c>
      <c r="C553" s="1" t="s">
        <v>54</v>
      </c>
      <c r="D553" s="1" t="s">
        <v>1490</v>
      </c>
      <c r="E553" s="1" t="s">
        <v>189</v>
      </c>
      <c r="F553" s="1" t="s">
        <v>45</v>
      </c>
      <c r="G553" s="1">
        <v>7</v>
      </c>
      <c r="H553" s="1">
        <v>2217</v>
      </c>
      <c r="I553" s="1">
        <v>15519</v>
      </c>
      <c r="J553" s="1">
        <v>1862.28</v>
      </c>
      <c r="K553" s="1">
        <v>0.12</v>
      </c>
      <c r="L553" s="1">
        <v>13656.72</v>
      </c>
      <c r="M553" s="1" t="s">
        <v>18</v>
      </c>
    </row>
    <row r="554" spans="1:13" x14ac:dyDescent="0.35">
      <c r="A554" s="1" t="s">
        <v>840</v>
      </c>
      <c r="B554" s="2">
        <v>45326</v>
      </c>
      <c r="C554" s="1" t="s">
        <v>396</v>
      </c>
      <c r="D554" s="1" t="s">
        <v>1490</v>
      </c>
      <c r="E554" s="1" t="s">
        <v>21</v>
      </c>
      <c r="F554" s="1" t="s">
        <v>22</v>
      </c>
      <c r="G554" s="1">
        <v>7</v>
      </c>
      <c r="H554" s="1">
        <v>4077</v>
      </c>
      <c r="I554" s="1">
        <v>28539</v>
      </c>
      <c r="J554" s="1">
        <v>3139.29</v>
      </c>
      <c r="K554" s="1">
        <v>0.11</v>
      </c>
      <c r="L554" s="1">
        <v>25399.71</v>
      </c>
      <c r="M554" s="1" t="s">
        <v>18</v>
      </c>
    </row>
    <row r="555" spans="1:13" x14ac:dyDescent="0.35">
      <c r="A555" s="1" t="s">
        <v>841</v>
      </c>
      <c r="B555" s="2">
        <v>45465</v>
      </c>
      <c r="C555" s="1" t="s">
        <v>608</v>
      </c>
      <c r="D555" s="1" t="s">
        <v>1493</v>
      </c>
      <c r="E555" s="1" t="s">
        <v>189</v>
      </c>
      <c r="F555" s="1" t="s">
        <v>45</v>
      </c>
      <c r="G555" s="1">
        <v>9</v>
      </c>
      <c r="H555" s="1">
        <v>1984</v>
      </c>
      <c r="I555" s="1">
        <v>17856</v>
      </c>
      <c r="J555" s="1">
        <v>0</v>
      </c>
      <c r="K555" s="1">
        <v>0</v>
      </c>
      <c r="L555" s="1">
        <v>17856</v>
      </c>
      <c r="M555" s="1" t="s">
        <v>18</v>
      </c>
    </row>
    <row r="556" spans="1:13" x14ac:dyDescent="0.35">
      <c r="A556" s="1" t="s">
        <v>842</v>
      </c>
      <c r="B556" s="2">
        <v>45109</v>
      </c>
      <c r="C556" s="1" t="s">
        <v>103</v>
      </c>
      <c r="D556" s="1" t="s">
        <v>1490</v>
      </c>
      <c r="E556" s="1" t="s">
        <v>57</v>
      </c>
      <c r="F556" s="1" t="s">
        <v>45</v>
      </c>
      <c r="G556" s="1">
        <v>9</v>
      </c>
      <c r="H556" s="1">
        <v>4633</v>
      </c>
      <c r="I556" s="1">
        <v>41697</v>
      </c>
      <c r="J556" s="1">
        <v>6671.52</v>
      </c>
      <c r="K556" s="1">
        <v>0.16</v>
      </c>
      <c r="L556" s="1">
        <v>35025.480000000003</v>
      </c>
      <c r="M556" s="1" t="s">
        <v>18</v>
      </c>
    </row>
    <row r="557" spans="1:13" x14ac:dyDescent="0.35">
      <c r="A557" s="1" t="s">
        <v>843</v>
      </c>
      <c r="B557" s="2">
        <v>45461</v>
      </c>
      <c r="C557" s="1" t="s">
        <v>518</v>
      </c>
      <c r="D557" s="1" t="s">
        <v>1492</v>
      </c>
      <c r="E557" s="1" t="s">
        <v>32</v>
      </c>
      <c r="F557" s="1" t="s">
        <v>17</v>
      </c>
      <c r="G557" s="1">
        <v>6</v>
      </c>
      <c r="H557" s="1">
        <v>4898</v>
      </c>
      <c r="I557" s="1">
        <v>29388</v>
      </c>
      <c r="J557" s="1">
        <v>8816.4</v>
      </c>
      <c r="K557" s="1">
        <v>0.3</v>
      </c>
      <c r="L557" s="1">
        <v>20571.599999999999</v>
      </c>
      <c r="M557" s="1" t="s">
        <v>18</v>
      </c>
    </row>
    <row r="558" spans="1:13" x14ac:dyDescent="0.35">
      <c r="A558" s="1" t="s">
        <v>844</v>
      </c>
      <c r="B558" s="2">
        <v>45515</v>
      </c>
      <c r="C558" s="1" t="s">
        <v>20</v>
      </c>
      <c r="D558" s="1" t="s">
        <v>1490</v>
      </c>
      <c r="E558" s="1" t="s">
        <v>21</v>
      </c>
      <c r="F558" s="1" t="s">
        <v>22</v>
      </c>
      <c r="G558" s="1">
        <v>7</v>
      </c>
      <c r="H558" s="1">
        <v>720</v>
      </c>
      <c r="I558" s="1">
        <v>5040</v>
      </c>
      <c r="J558" s="1">
        <v>1461.6</v>
      </c>
      <c r="K558" s="1">
        <v>0.28999999999999998</v>
      </c>
      <c r="L558" s="1">
        <v>3578.4</v>
      </c>
      <c r="M558" s="1" t="s">
        <v>18</v>
      </c>
    </row>
    <row r="559" spans="1:13" x14ac:dyDescent="0.35">
      <c r="A559" s="1" t="s">
        <v>845</v>
      </c>
      <c r="B559" s="2">
        <v>45299</v>
      </c>
      <c r="C559" s="1" t="s">
        <v>223</v>
      </c>
      <c r="D559" s="1" t="s">
        <v>1492</v>
      </c>
      <c r="E559" s="1" t="s">
        <v>48</v>
      </c>
      <c r="F559" s="1" t="s">
        <v>17</v>
      </c>
      <c r="G559" s="1">
        <v>9</v>
      </c>
      <c r="H559" s="1">
        <v>3372</v>
      </c>
      <c r="I559" s="1">
        <v>30348</v>
      </c>
      <c r="J559" s="1">
        <v>910.43999999999994</v>
      </c>
      <c r="K559" s="1">
        <v>0.03</v>
      </c>
      <c r="L559" s="1">
        <v>29437.56</v>
      </c>
      <c r="M559" s="1" t="s">
        <v>18</v>
      </c>
    </row>
    <row r="560" spans="1:13" x14ac:dyDescent="0.35">
      <c r="A560" s="1" t="s">
        <v>846</v>
      </c>
      <c r="B560" s="2">
        <v>45090</v>
      </c>
      <c r="C560" s="1" t="s">
        <v>847</v>
      </c>
      <c r="D560" s="1" t="s">
        <v>1491</v>
      </c>
      <c r="E560" s="1" t="s">
        <v>16</v>
      </c>
      <c r="F560" s="1" t="s">
        <v>17</v>
      </c>
      <c r="G560" s="1">
        <v>8</v>
      </c>
      <c r="H560" s="1">
        <v>4408</v>
      </c>
      <c r="I560" s="1">
        <v>35264</v>
      </c>
      <c r="J560" s="1">
        <v>8463.36</v>
      </c>
      <c r="K560" s="1">
        <v>0.24</v>
      </c>
      <c r="L560" s="1">
        <v>26800.639999999999</v>
      </c>
      <c r="M560" s="1" t="s">
        <v>18</v>
      </c>
    </row>
    <row r="561" spans="1:13" x14ac:dyDescent="0.35">
      <c r="A561" s="1" t="s">
        <v>848</v>
      </c>
      <c r="B561" s="2">
        <v>45330</v>
      </c>
      <c r="C561" s="1" t="s">
        <v>849</v>
      </c>
      <c r="D561" s="1" t="s">
        <v>1492</v>
      </c>
      <c r="E561" s="1" t="s">
        <v>60</v>
      </c>
      <c r="F561" s="1" t="s">
        <v>45</v>
      </c>
      <c r="G561" s="1">
        <v>4</v>
      </c>
      <c r="H561" s="1">
        <v>2422</v>
      </c>
      <c r="I561" s="1">
        <v>9688</v>
      </c>
      <c r="J561" s="1">
        <v>0</v>
      </c>
      <c r="K561" s="1">
        <v>0</v>
      </c>
      <c r="L561" s="1">
        <v>9688</v>
      </c>
      <c r="M561" s="1" t="s">
        <v>18</v>
      </c>
    </row>
    <row r="562" spans="1:13" x14ac:dyDescent="0.35">
      <c r="A562" s="1" t="s">
        <v>850</v>
      </c>
      <c r="B562" s="2">
        <v>45453</v>
      </c>
      <c r="C562" s="1" t="s">
        <v>814</v>
      </c>
      <c r="D562" s="1" t="s">
        <v>1493</v>
      </c>
      <c r="E562" s="1" t="s">
        <v>32</v>
      </c>
      <c r="F562" s="1" t="s">
        <v>17</v>
      </c>
      <c r="G562" s="1">
        <v>9</v>
      </c>
      <c r="H562" s="1">
        <v>737</v>
      </c>
      <c r="I562" s="1">
        <v>6633</v>
      </c>
      <c r="J562" s="1">
        <v>994.94999999999993</v>
      </c>
      <c r="K562" s="1">
        <v>0.15</v>
      </c>
      <c r="L562" s="1">
        <v>5638.05</v>
      </c>
      <c r="M562" s="1" t="s">
        <v>18</v>
      </c>
    </row>
    <row r="563" spans="1:13" x14ac:dyDescent="0.35">
      <c r="A563" s="1" t="s">
        <v>851</v>
      </c>
      <c r="B563" s="2">
        <v>45320</v>
      </c>
      <c r="C563" s="1" t="s">
        <v>830</v>
      </c>
      <c r="D563" s="1" t="s">
        <v>1493</v>
      </c>
      <c r="E563" s="1" t="s">
        <v>39</v>
      </c>
      <c r="F563" s="1" t="s">
        <v>22</v>
      </c>
      <c r="G563" s="1">
        <v>2</v>
      </c>
      <c r="H563" s="1">
        <v>565</v>
      </c>
      <c r="I563" s="1">
        <v>1130</v>
      </c>
      <c r="J563" s="1">
        <v>226</v>
      </c>
      <c r="K563" s="1">
        <v>0.2</v>
      </c>
      <c r="L563" s="1">
        <v>904</v>
      </c>
      <c r="M563" s="1" t="s">
        <v>18</v>
      </c>
    </row>
    <row r="564" spans="1:13" x14ac:dyDescent="0.35">
      <c r="A564" s="1" t="s">
        <v>852</v>
      </c>
      <c r="B564" s="2">
        <v>45535</v>
      </c>
      <c r="C564" s="1" t="s">
        <v>175</v>
      </c>
      <c r="D564" s="1" t="s">
        <v>1491</v>
      </c>
      <c r="E564" s="1" t="s">
        <v>181</v>
      </c>
      <c r="F564" s="1" t="s">
        <v>22</v>
      </c>
      <c r="G564" s="1">
        <v>2</v>
      </c>
      <c r="H564" s="1">
        <v>4172</v>
      </c>
      <c r="I564" s="1">
        <v>8344</v>
      </c>
      <c r="J564" s="1">
        <v>333.76</v>
      </c>
      <c r="K564" s="1">
        <v>0.04</v>
      </c>
      <c r="L564" s="1">
        <v>8010.24</v>
      </c>
      <c r="M564" s="1" t="s">
        <v>18</v>
      </c>
    </row>
    <row r="565" spans="1:13" x14ac:dyDescent="0.35">
      <c r="A565" s="1" t="s">
        <v>853</v>
      </c>
      <c r="B565" s="2">
        <v>45616</v>
      </c>
      <c r="C565" s="1" t="s">
        <v>284</v>
      </c>
      <c r="D565" s="1" t="s">
        <v>1493</v>
      </c>
      <c r="E565" s="1" t="s">
        <v>181</v>
      </c>
      <c r="F565" s="1" t="s">
        <v>22</v>
      </c>
      <c r="G565" s="1">
        <v>2</v>
      </c>
      <c r="H565" s="1">
        <v>3926</v>
      </c>
      <c r="I565" s="1">
        <v>7852</v>
      </c>
      <c r="J565" s="1">
        <v>1256.32</v>
      </c>
      <c r="K565" s="1">
        <v>0.16</v>
      </c>
      <c r="L565" s="1">
        <v>6595.68</v>
      </c>
      <c r="M565" s="1" t="s">
        <v>18</v>
      </c>
    </row>
    <row r="566" spans="1:13" x14ac:dyDescent="0.35">
      <c r="A566" s="1" t="s">
        <v>854</v>
      </c>
      <c r="B566" s="2">
        <v>45041</v>
      </c>
      <c r="C566" s="1" t="s">
        <v>275</v>
      </c>
      <c r="D566" s="1" t="s">
        <v>1492</v>
      </c>
      <c r="E566" s="1" t="s">
        <v>21</v>
      </c>
      <c r="F566" s="1" t="s">
        <v>22</v>
      </c>
      <c r="G566" s="1">
        <v>5</v>
      </c>
      <c r="H566" s="1">
        <v>1259</v>
      </c>
      <c r="I566" s="1">
        <v>6295</v>
      </c>
      <c r="J566" s="1">
        <v>1762.6000000000001</v>
      </c>
      <c r="K566" s="1">
        <v>0.28000000000000003</v>
      </c>
      <c r="L566" s="1">
        <v>4532.3999999999996</v>
      </c>
      <c r="M566" s="1" t="s">
        <v>18</v>
      </c>
    </row>
    <row r="567" spans="1:13" x14ac:dyDescent="0.35">
      <c r="A567" s="1" t="s">
        <v>855</v>
      </c>
      <c r="B567" s="2">
        <v>45150</v>
      </c>
      <c r="C567" s="1" t="s">
        <v>193</v>
      </c>
      <c r="D567" s="1" t="s">
        <v>1490</v>
      </c>
      <c r="E567" s="1" t="s">
        <v>21</v>
      </c>
      <c r="F567" s="1" t="s">
        <v>22</v>
      </c>
      <c r="G567" s="1">
        <v>5</v>
      </c>
      <c r="H567" s="1">
        <v>3016</v>
      </c>
      <c r="I567" s="1">
        <v>15080</v>
      </c>
      <c r="J567" s="1">
        <v>904.8</v>
      </c>
      <c r="K567" s="1">
        <v>0.06</v>
      </c>
      <c r="L567" s="1">
        <v>14175.2</v>
      </c>
      <c r="M567" s="1" t="s">
        <v>18</v>
      </c>
    </row>
    <row r="568" spans="1:13" x14ac:dyDescent="0.35">
      <c r="A568" s="1" t="s">
        <v>856</v>
      </c>
      <c r="B568" s="2">
        <v>45380</v>
      </c>
      <c r="C568" s="1" t="s">
        <v>34</v>
      </c>
      <c r="D568" s="1" t="s">
        <v>1491</v>
      </c>
      <c r="E568" s="1" t="s">
        <v>26</v>
      </c>
      <c r="F568" s="1" t="s">
        <v>17</v>
      </c>
      <c r="G568" s="1">
        <v>3</v>
      </c>
      <c r="H568" s="1">
        <v>1979</v>
      </c>
      <c r="I568" s="1">
        <v>5937</v>
      </c>
      <c r="J568" s="1">
        <v>1424.8799999999999</v>
      </c>
      <c r="K568" s="1">
        <v>0.24</v>
      </c>
      <c r="L568" s="1">
        <v>4512.12</v>
      </c>
      <c r="M568" s="1" t="s">
        <v>18</v>
      </c>
    </row>
    <row r="569" spans="1:13" x14ac:dyDescent="0.35">
      <c r="A569" s="1" t="s">
        <v>857</v>
      </c>
      <c r="B569" s="2">
        <v>45021</v>
      </c>
      <c r="C569" s="1" t="s">
        <v>206</v>
      </c>
      <c r="D569" s="1" t="s">
        <v>1493</v>
      </c>
      <c r="E569" s="1" t="s">
        <v>39</v>
      </c>
      <c r="F569" s="1" t="s">
        <v>22</v>
      </c>
      <c r="G569" s="1">
        <v>9</v>
      </c>
      <c r="H569" s="1">
        <v>1382</v>
      </c>
      <c r="I569" s="1">
        <v>12438</v>
      </c>
      <c r="J569" s="1">
        <v>621.90000000000009</v>
      </c>
      <c r="K569" s="1">
        <v>0.05</v>
      </c>
      <c r="L569" s="1">
        <v>11816.1</v>
      </c>
      <c r="M569" s="1" t="s">
        <v>18</v>
      </c>
    </row>
    <row r="570" spans="1:13" x14ac:dyDescent="0.35">
      <c r="A570" s="1" t="s">
        <v>858</v>
      </c>
      <c r="B570" s="2">
        <v>44928</v>
      </c>
      <c r="C570" s="1" t="s">
        <v>41</v>
      </c>
      <c r="D570" s="1" t="s">
        <v>1490</v>
      </c>
      <c r="E570" s="1" t="s">
        <v>189</v>
      </c>
      <c r="F570" s="1" t="s">
        <v>45</v>
      </c>
      <c r="G570" s="1">
        <v>5</v>
      </c>
      <c r="H570" s="1">
        <v>772</v>
      </c>
      <c r="I570" s="1">
        <v>3860</v>
      </c>
      <c r="J570" s="1">
        <v>965</v>
      </c>
      <c r="K570" s="1">
        <v>0.25</v>
      </c>
      <c r="L570" s="1">
        <v>2895</v>
      </c>
      <c r="M570" s="1" t="s">
        <v>18</v>
      </c>
    </row>
    <row r="571" spans="1:13" x14ac:dyDescent="0.35">
      <c r="A571" s="1" t="s">
        <v>859</v>
      </c>
      <c r="B571" s="2">
        <v>45630</v>
      </c>
      <c r="C571" s="1" t="s">
        <v>302</v>
      </c>
      <c r="D571" s="1" t="s">
        <v>1491</v>
      </c>
      <c r="E571" s="1" t="s">
        <v>181</v>
      </c>
      <c r="F571" s="1" t="s">
        <v>22</v>
      </c>
      <c r="G571" s="1">
        <v>7</v>
      </c>
      <c r="H571" s="1">
        <v>4105</v>
      </c>
      <c r="I571" s="1">
        <v>28735</v>
      </c>
      <c r="J571" s="1">
        <v>2873.5</v>
      </c>
      <c r="K571" s="1">
        <v>0.1</v>
      </c>
      <c r="L571" s="1">
        <v>25861.5</v>
      </c>
      <c r="M571" s="1" t="s">
        <v>18</v>
      </c>
    </row>
    <row r="572" spans="1:13" x14ac:dyDescent="0.35">
      <c r="A572" s="1" t="s">
        <v>860</v>
      </c>
      <c r="B572" s="2">
        <v>45306</v>
      </c>
      <c r="C572" s="1" t="s">
        <v>578</v>
      </c>
      <c r="D572" s="1" t="s">
        <v>1490</v>
      </c>
      <c r="E572" s="1" t="s">
        <v>44</v>
      </c>
      <c r="F572" s="1" t="s">
        <v>45</v>
      </c>
      <c r="G572" s="1">
        <v>3</v>
      </c>
      <c r="H572" s="1">
        <v>1583</v>
      </c>
      <c r="I572" s="1">
        <v>4749</v>
      </c>
      <c r="J572" s="1">
        <v>712.35</v>
      </c>
      <c r="K572" s="1">
        <v>0.15</v>
      </c>
      <c r="L572" s="1">
        <v>4036.65</v>
      </c>
      <c r="M572" s="1" t="s">
        <v>18</v>
      </c>
    </row>
    <row r="573" spans="1:13" x14ac:dyDescent="0.35">
      <c r="A573" s="1" t="s">
        <v>861</v>
      </c>
      <c r="B573" s="2">
        <v>45035</v>
      </c>
      <c r="C573" s="1" t="s">
        <v>31</v>
      </c>
      <c r="D573" s="1" t="s">
        <v>1492</v>
      </c>
      <c r="E573" s="1" t="s">
        <v>57</v>
      </c>
      <c r="F573" s="1" t="s">
        <v>45</v>
      </c>
      <c r="G573" s="1">
        <v>3</v>
      </c>
      <c r="H573" s="1">
        <v>4987</v>
      </c>
      <c r="I573" s="1">
        <v>14961</v>
      </c>
      <c r="J573" s="1">
        <v>1645.71</v>
      </c>
      <c r="K573" s="1">
        <v>0.11</v>
      </c>
      <c r="L573" s="1">
        <v>13315.29</v>
      </c>
      <c r="M573" s="1" t="s">
        <v>18</v>
      </c>
    </row>
    <row r="574" spans="1:13" x14ac:dyDescent="0.35">
      <c r="A574" s="1" t="s">
        <v>862</v>
      </c>
      <c r="B574" s="2">
        <v>45302</v>
      </c>
      <c r="C574" s="1" t="s">
        <v>370</v>
      </c>
      <c r="D574" s="1" t="s">
        <v>1490</v>
      </c>
      <c r="E574" s="1" t="s">
        <v>32</v>
      </c>
      <c r="F574" s="1" t="s">
        <v>17</v>
      </c>
      <c r="G574" s="1">
        <v>4</v>
      </c>
      <c r="H574" s="1">
        <v>4520</v>
      </c>
      <c r="I574" s="1">
        <v>18080</v>
      </c>
      <c r="J574" s="1">
        <v>3977.6</v>
      </c>
      <c r="K574" s="1">
        <v>0.22</v>
      </c>
      <c r="L574" s="1">
        <v>14102.4</v>
      </c>
      <c r="M574" s="1" t="s">
        <v>18</v>
      </c>
    </row>
    <row r="575" spans="1:13" x14ac:dyDescent="0.35">
      <c r="A575" s="1" t="s">
        <v>863</v>
      </c>
      <c r="B575" s="2">
        <v>44992</v>
      </c>
      <c r="C575" s="1" t="s">
        <v>445</v>
      </c>
      <c r="D575" s="1" t="s">
        <v>1493</v>
      </c>
      <c r="E575" s="1" t="s">
        <v>44</v>
      </c>
      <c r="F575" s="1" t="s">
        <v>45</v>
      </c>
      <c r="G575" s="1">
        <v>4</v>
      </c>
      <c r="H575" s="1">
        <v>303</v>
      </c>
      <c r="I575" s="1">
        <v>1212</v>
      </c>
      <c r="J575" s="1">
        <v>36.36</v>
      </c>
      <c r="K575" s="1">
        <v>0.03</v>
      </c>
      <c r="L575" s="1">
        <v>1175.6400000000001</v>
      </c>
      <c r="M575" s="1" t="s">
        <v>18</v>
      </c>
    </row>
    <row r="576" spans="1:13" x14ac:dyDescent="0.35">
      <c r="A576" s="1" t="s">
        <v>864</v>
      </c>
      <c r="B576" s="2">
        <v>45453</v>
      </c>
      <c r="C576" s="1" t="s">
        <v>252</v>
      </c>
      <c r="D576" s="1" t="s">
        <v>1492</v>
      </c>
      <c r="E576" s="1" t="s">
        <v>39</v>
      </c>
      <c r="F576" s="1" t="s">
        <v>22</v>
      </c>
      <c r="G576" s="1">
        <v>5</v>
      </c>
      <c r="H576" s="1">
        <v>2979</v>
      </c>
      <c r="I576" s="1">
        <v>14895</v>
      </c>
      <c r="J576" s="1">
        <v>4021.65</v>
      </c>
      <c r="K576" s="1">
        <v>0.27</v>
      </c>
      <c r="L576" s="1">
        <v>10873.35</v>
      </c>
      <c r="M576" s="1" t="s">
        <v>18</v>
      </c>
    </row>
    <row r="577" spans="1:13" x14ac:dyDescent="0.35">
      <c r="A577" s="1" t="s">
        <v>865</v>
      </c>
      <c r="B577" s="2">
        <v>45255</v>
      </c>
      <c r="C577" s="1" t="s">
        <v>99</v>
      </c>
      <c r="D577" s="1" t="s">
        <v>1490</v>
      </c>
      <c r="E577" s="1" t="s">
        <v>44</v>
      </c>
      <c r="F577" s="1" t="s">
        <v>45</v>
      </c>
      <c r="G577" s="1">
        <v>8</v>
      </c>
      <c r="H577" s="1">
        <v>2011</v>
      </c>
      <c r="I577" s="1">
        <v>16088</v>
      </c>
      <c r="J577" s="1">
        <v>2413.1999999999998</v>
      </c>
      <c r="K577" s="1">
        <v>0.15</v>
      </c>
      <c r="L577" s="1">
        <v>13674.8</v>
      </c>
      <c r="M577" s="1" t="s">
        <v>18</v>
      </c>
    </row>
    <row r="578" spans="1:13" x14ac:dyDescent="0.35">
      <c r="A578" s="1" t="s">
        <v>866</v>
      </c>
      <c r="B578" s="2">
        <v>45471</v>
      </c>
      <c r="C578" s="1" t="s">
        <v>348</v>
      </c>
      <c r="D578" s="1" t="s">
        <v>1492</v>
      </c>
      <c r="E578" s="1" t="s">
        <v>29</v>
      </c>
      <c r="F578" s="1" t="s">
        <v>22</v>
      </c>
      <c r="G578" s="1">
        <v>10</v>
      </c>
      <c r="H578" s="1">
        <v>3749</v>
      </c>
      <c r="I578" s="1">
        <v>37490</v>
      </c>
      <c r="J578" s="1">
        <v>2624.3</v>
      </c>
      <c r="K578" s="1">
        <v>7.0000000000000007E-2</v>
      </c>
      <c r="L578" s="1">
        <v>34865.699999999997</v>
      </c>
      <c r="M578" s="1" t="s">
        <v>18</v>
      </c>
    </row>
    <row r="579" spans="1:13" x14ac:dyDescent="0.35">
      <c r="A579" s="1" t="s">
        <v>867</v>
      </c>
      <c r="B579" s="2">
        <v>45608</v>
      </c>
      <c r="C579" s="1" t="s">
        <v>107</v>
      </c>
      <c r="D579" s="1" t="s">
        <v>1490</v>
      </c>
      <c r="E579" s="1" t="s">
        <v>44</v>
      </c>
      <c r="F579" s="1" t="s">
        <v>45</v>
      </c>
      <c r="G579" s="1">
        <v>2</v>
      </c>
      <c r="H579" s="1">
        <v>4082</v>
      </c>
      <c r="I579" s="1">
        <v>8164</v>
      </c>
      <c r="J579" s="1">
        <v>1632.8000000000002</v>
      </c>
      <c r="K579" s="1">
        <v>0.2</v>
      </c>
      <c r="L579" s="1">
        <v>6531.2</v>
      </c>
      <c r="M579" s="1" t="s">
        <v>18</v>
      </c>
    </row>
    <row r="580" spans="1:13" x14ac:dyDescent="0.35">
      <c r="A580" s="1" t="s">
        <v>868</v>
      </c>
      <c r="B580" s="2">
        <v>45324</v>
      </c>
      <c r="C580" s="1" t="s">
        <v>384</v>
      </c>
      <c r="D580" s="1" t="s">
        <v>1490</v>
      </c>
      <c r="E580" s="1" t="s">
        <v>44</v>
      </c>
      <c r="F580" s="1" t="s">
        <v>45</v>
      </c>
      <c r="G580" s="1">
        <v>1</v>
      </c>
      <c r="H580" s="1">
        <v>3300</v>
      </c>
      <c r="I580" s="1">
        <v>3300</v>
      </c>
      <c r="J580" s="1">
        <v>165</v>
      </c>
      <c r="K580" s="1">
        <v>0.05</v>
      </c>
      <c r="L580" s="1">
        <v>3135</v>
      </c>
      <c r="M580" s="1" t="s">
        <v>18</v>
      </c>
    </row>
    <row r="581" spans="1:13" x14ac:dyDescent="0.35">
      <c r="A581" s="1" t="s">
        <v>869</v>
      </c>
      <c r="B581" s="2">
        <v>45403</v>
      </c>
      <c r="C581" s="1" t="s">
        <v>239</v>
      </c>
      <c r="D581" s="1" t="s">
        <v>1490</v>
      </c>
      <c r="E581" s="1" t="s">
        <v>189</v>
      </c>
      <c r="F581" s="1" t="s">
        <v>45</v>
      </c>
      <c r="G581" s="1">
        <v>7</v>
      </c>
      <c r="H581" s="1">
        <v>2448</v>
      </c>
      <c r="I581" s="1">
        <v>17136</v>
      </c>
      <c r="J581" s="1">
        <v>1713.6000000000001</v>
      </c>
      <c r="K581" s="1">
        <v>0.1</v>
      </c>
      <c r="L581" s="1">
        <v>15422.4</v>
      </c>
      <c r="M581" s="1" t="s">
        <v>18</v>
      </c>
    </row>
    <row r="582" spans="1:13" x14ac:dyDescent="0.35">
      <c r="A582" s="1" t="s">
        <v>870</v>
      </c>
      <c r="B582" s="2">
        <v>45610</v>
      </c>
      <c r="C582" s="1" t="s">
        <v>834</v>
      </c>
      <c r="D582" s="1" t="s">
        <v>1490</v>
      </c>
      <c r="E582" s="1" t="s">
        <v>32</v>
      </c>
      <c r="F582" s="1" t="s">
        <v>17</v>
      </c>
      <c r="G582" s="1">
        <v>1</v>
      </c>
      <c r="H582" s="1">
        <v>3067</v>
      </c>
      <c r="I582" s="1">
        <v>3067</v>
      </c>
      <c r="J582" s="1">
        <v>337.37</v>
      </c>
      <c r="K582" s="1">
        <v>0.11</v>
      </c>
      <c r="L582" s="1">
        <v>2729.63</v>
      </c>
      <c r="M582" s="1" t="s">
        <v>18</v>
      </c>
    </row>
    <row r="583" spans="1:13" x14ac:dyDescent="0.35">
      <c r="A583" s="1" t="s">
        <v>871</v>
      </c>
      <c r="B583" s="2">
        <v>45084</v>
      </c>
      <c r="C583" s="1" t="s">
        <v>582</v>
      </c>
      <c r="D583" s="1" t="s">
        <v>1490</v>
      </c>
      <c r="E583" s="1" t="s">
        <v>16</v>
      </c>
      <c r="F583" s="1" t="s">
        <v>17</v>
      </c>
      <c r="G583" s="1">
        <v>3</v>
      </c>
      <c r="H583" s="1">
        <v>4727</v>
      </c>
      <c r="I583" s="1">
        <v>14181</v>
      </c>
      <c r="J583" s="1">
        <v>2836.2000000000003</v>
      </c>
      <c r="K583" s="1">
        <v>0.2</v>
      </c>
      <c r="L583" s="1">
        <v>11344.8</v>
      </c>
      <c r="M583" s="1" t="s">
        <v>18</v>
      </c>
    </row>
    <row r="584" spans="1:13" x14ac:dyDescent="0.35">
      <c r="A584" s="1" t="s">
        <v>872</v>
      </c>
      <c r="B584" s="2">
        <v>44937</v>
      </c>
      <c r="C584" s="1" t="s">
        <v>873</v>
      </c>
      <c r="D584" s="1" t="s">
        <v>1490</v>
      </c>
      <c r="E584" s="1" t="s">
        <v>32</v>
      </c>
      <c r="F584" s="1" t="s">
        <v>17</v>
      </c>
      <c r="G584" s="1">
        <v>4</v>
      </c>
      <c r="H584" s="1">
        <v>1477</v>
      </c>
      <c r="I584" s="1">
        <v>5908</v>
      </c>
      <c r="J584" s="1">
        <v>413.56000000000006</v>
      </c>
      <c r="K584" s="1">
        <v>7.0000000000000007E-2</v>
      </c>
      <c r="L584" s="1">
        <v>5494.44</v>
      </c>
      <c r="M584" s="1" t="s">
        <v>18</v>
      </c>
    </row>
    <row r="585" spans="1:13" x14ac:dyDescent="0.35">
      <c r="A585" s="1" t="s">
        <v>874</v>
      </c>
      <c r="B585" s="2">
        <v>45000</v>
      </c>
      <c r="C585" s="1" t="s">
        <v>140</v>
      </c>
      <c r="D585" s="1" t="s">
        <v>1490</v>
      </c>
      <c r="E585" s="1" t="s">
        <v>48</v>
      </c>
      <c r="F585" s="1" t="s">
        <v>17</v>
      </c>
      <c r="G585" s="1">
        <v>3</v>
      </c>
      <c r="H585" s="1">
        <v>1664</v>
      </c>
      <c r="I585" s="1">
        <v>4992</v>
      </c>
      <c r="J585" s="1">
        <v>1397.7600000000002</v>
      </c>
      <c r="K585" s="1">
        <v>0.28000000000000003</v>
      </c>
      <c r="L585" s="1">
        <v>3594.24</v>
      </c>
      <c r="M585" s="1" t="s">
        <v>18</v>
      </c>
    </row>
    <row r="586" spans="1:13" x14ac:dyDescent="0.35">
      <c r="A586" s="1" t="s">
        <v>875</v>
      </c>
      <c r="B586" s="2">
        <v>45111</v>
      </c>
      <c r="C586" s="1" t="s">
        <v>163</v>
      </c>
      <c r="D586" s="1" t="s">
        <v>1490</v>
      </c>
      <c r="E586" s="1" t="s">
        <v>16</v>
      </c>
      <c r="F586" s="1" t="s">
        <v>17</v>
      </c>
      <c r="G586" s="1">
        <v>2</v>
      </c>
      <c r="H586" s="1">
        <v>4838</v>
      </c>
      <c r="I586" s="1">
        <v>9676</v>
      </c>
      <c r="J586" s="1">
        <v>870.83999999999992</v>
      </c>
      <c r="K586" s="1">
        <v>0.09</v>
      </c>
      <c r="L586" s="1">
        <v>8805.16</v>
      </c>
      <c r="M586" s="1" t="s">
        <v>18</v>
      </c>
    </row>
    <row r="587" spans="1:13" x14ac:dyDescent="0.35">
      <c r="A587" s="1" t="s">
        <v>876</v>
      </c>
      <c r="B587" s="2">
        <v>45085</v>
      </c>
      <c r="C587" s="1" t="s">
        <v>378</v>
      </c>
      <c r="D587" s="1" t="s">
        <v>1491</v>
      </c>
      <c r="E587" s="1" t="s">
        <v>26</v>
      </c>
      <c r="F587" s="1" t="s">
        <v>17</v>
      </c>
      <c r="G587" s="1">
        <v>4</v>
      </c>
      <c r="H587" s="1">
        <v>577</v>
      </c>
      <c r="I587" s="1">
        <v>2308</v>
      </c>
      <c r="J587" s="1">
        <v>669.31999999999994</v>
      </c>
      <c r="K587" s="1">
        <v>0.28999999999999998</v>
      </c>
      <c r="L587" s="1">
        <v>1638.68</v>
      </c>
      <c r="M587" s="1" t="s">
        <v>18</v>
      </c>
    </row>
    <row r="588" spans="1:13" x14ac:dyDescent="0.35">
      <c r="A588" s="1" t="s">
        <v>877</v>
      </c>
      <c r="B588" s="2">
        <v>44984</v>
      </c>
      <c r="C588" s="1" t="s">
        <v>237</v>
      </c>
      <c r="D588" s="1" t="s">
        <v>1492</v>
      </c>
      <c r="E588" s="1" t="s">
        <v>29</v>
      </c>
      <c r="F588" s="1" t="s">
        <v>22</v>
      </c>
      <c r="G588" s="1">
        <v>6</v>
      </c>
      <c r="H588" s="1">
        <v>446</v>
      </c>
      <c r="I588" s="1">
        <v>2676</v>
      </c>
      <c r="J588" s="1">
        <v>561.95999999999992</v>
      </c>
      <c r="K588" s="1">
        <v>0.21</v>
      </c>
      <c r="L588" s="1">
        <v>2114.04</v>
      </c>
      <c r="M588" s="1" t="s">
        <v>18</v>
      </c>
    </row>
    <row r="589" spans="1:13" x14ac:dyDescent="0.35">
      <c r="A589" s="1" t="s">
        <v>878</v>
      </c>
      <c r="B589" s="2">
        <v>45355</v>
      </c>
      <c r="C589" s="1" t="s">
        <v>246</v>
      </c>
      <c r="D589" s="1" t="s">
        <v>1492</v>
      </c>
      <c r="E589" s="1" t="s">
        <v>39</v>
      </c>
      <c r="F589" s="1" t="s">
        <v>22</v>
      </c>
      <c r="G589" s="1">
        <v>1</v>
      </c>
      <c r="H589" s="1">
        <v>4302</v>
      </c>
      <c r="I589" s="1">
        <v>4302</v>
      </c>
      <c r="J589" s="1">
        <v>817.38</v>
      </c>
      <c r="K589" s="1">
        <v>0.19</v>
      </c>
      <c r="L589" s="1">
        <v>3484.62</v>
      </c>
      <c r="M589" s="1" t="s">
        <v>18</v>
      </c>
    </row>
    <row r="590" spans="1:13" x14ac:dyDescent="0.35">
      <c r="A590" s="1" t="s">
        <v>879</v>
      </c>
      <c r="B590" s="2">
        <v>44984</v>
      </c>
      <c r="C590" s="1" t="s">
        <v>225</v>
      </c>
      <c r="D590" s="1" t="s">
        <v>1490</v>
      </c>
      <c r="E590" s="1" t="s">
        <v>26</v>
      </c>
      <c r="F590" s="1" t="s">
        <v>17</v>
      </c>
      <c r="G590" s="1">
        <v>2</v>
      </c>
      <c r="H590" s="1">
        <v>4270</v>
      </c>
      <c r="I590" s="1">
        <v>8540</v>
      </c>
      <c r="J590" s="1">
        <v>1024.8</v>
      </c>
      <c r="K590" s="1">
        <v>0.12</v>
      </c>
      <c r="L590" s="1">
        <v>7515.2</v>
      </c>
      <c r="M590" s="1" t="s">
        <v>18</v>
      </c>
    </row>
    <row r="591" spans="1:13" x14ac:dyDescent="0.35">
      <c r="A591" s="1" t="s">
        <v>880</v>
      </c>
      <c r="B591" s="2">
        <v>45394</v>
      </c>
      <c r="C591" s="1" t="s">
        <v>396</v>
      </c>
      <c r="D591" s="1" t="s">
        <v>1490</v>
      </c>
      <c r="E591" s="1" t="s">
        <v>26</v>
      </c>
      <c r="F591" s="1" t="s">
        <v>17</v>
      </c>
      <c r="G591" s="1">
        <v>2</v>
      </c>
      <c r="H591" s="1">
        <v>2397</v>
      </c>
      <c r="I591" s="1">
        <v>4794</v>
      </c>
      <c r="J591" s="1">
        <v>1150.56</v>
      </c>
      <c r="K591" s="1">
        <v>0.24</v>
      </c>
      <c r="L591" s="1">
        <v>3643.44</v>
      </c>
      <c r="M591" s="1" t="s">
        <v>18</v>
      </c>
    </row>
    <row r="592" spans="1:13" x14ac:dyDescent="0.35">
      <c r="A592" s="1" t="s">
        <v>881</v>
      </c>
      <c r="B592" s="2">
        <v>44937</v>
      </c>
      <c r="C592" s="1" t="s">
        <v>453</v>
      </c>
      <c r="D592" s="1" t="s">
        <v>1490</v>
      </c>
      <c r="E592" s="1" t="s">
        <v>44</v>
      </c>
      <c r="F592" s="1" t="s">
        <v>45</v>
      </c>
      <c r="G592" s="1">
        <v>3</v>
      </c>
      <c r="H592" s="1">
        <v>776</v>
      </c>
      <c r="I592" s="1">
        <v>2328</v>
      </c>
      <c r="J592" s="1">
        <v>488.88</v>
      </c>
      <c r="K592" s="1">
        <v>0.21</v>
      </c>
      <c r="L592" s="1">
        <v>1839.12</v>
      </c>
      <c r="M592" s="1" t="s">
        <v>18</v>
      </c>
    </row>
    <row r="593" spans="1:13" x14ac:dyDescent="0.35">
      <c r="A593" s="1" t="s">
        <v>882</v>
      </c>
      <c r="B593" s="2">
        <v>45501</v>
      </c>
      <c r="C593" s="1" t="s">
        <v>302</v>
      </c>
      <c r="D593" s="1" t="s">
        <v>1491</v>
      </c>
      <c r="E593" s="1" t="s">
        <v>181</v>
      </c>
      <c r="F593" s="1" t="s">
        <v>22</v>
      </c>
      <c r="G593" s="1">
        <v>4</v>
      </c>
      <c r="H593" s="1">
        <v>3880</v>
      </c>
      <c r="I593" s="1">
        <v>15520</v>
      </c>
      <c r="J593" s="1">
        <v>1552</v>
      </c>
      <c r="K593" s="1">
        <v>0.1</v>
      </c>
      <c r="L593" s="1">
        <v>13968</v>
      </c>
      <c r="M593" s="1" t="s">
        <v>18</v>
      </c>
    </row>
    <row r="594" spans="1:13" x14ac:dyDescent="0.35">
      <c r="A594" s="1" t="s">
        <v>883</v>
      </c>
      <c r="B594" s="2">
        <v>45261</v>
      </c>
      <c r="C594" s="1" t="s">
        <v>370</v>
      </c>
      <c r="D594" s="1" t="s">
        <v>1490</v>
      </c>
      <c r="E594" s="1" t="s">
        <v>16</v>
      </c>
      <c r="F594" s="1" t="s">
        <v>17</v>
      </c>
      <c r="G594" s="1">
        <v>2</v>
      </c>
      <c r="H594" s="1">
        <v>1188</v>
      </c>
      <c r="I594" s="1">
        <v>2376</v>
      </c>
      <c r="J594" s="1">
        <v>308.88</v>
      </c>
      <c r="K594" s="1">
        <v>0.13</v>
      </c>
      <c r="L594" s="1">
        <v>2067.12</v>
      </c>
      <c r="M594" s="1" t="s">
        <v>18</v>
      </c>
    </row>
    <row r="595" spans="1:13" x14ac:dyDescent="0.35">
      <c r="A595" s="1" t="s">
        <v>884</v>
      </c>
      <c r="B595" s="2">
        <v>45608</v>
      </c>
      <c r="C595" s="1" t="s">
        <v>277</v>
      </c>
      <c r="D595" s="1" t="s">
        <v>1490</v>
      </c>
      <c r="E595" s="1" t="s">
        <v>21</v>
      </c>
      <c r="F595" s="1" t="s">
        <v>22</v>
      </c>
      <c r="G595" s="1">
        <v>9</v>
      </c>
      <c r="H595" s="1">
        <v>2097</v>
      </c>
      <c r="I595" s="1">
        <v>18873</v>
      </c>
      <c r="J595" s="1">
        <v>3585.87</v>
      </c>
      <c r="K595" s="1">
        <v>0.19</v>
      </c>
      <c r="L595" s="1">
        <v>15287.13</v>
      </c>
      <c r="M595" s="1" t="s">
        <v>18</v>
      </c>
    </row>
    <row r="596" spans="1:13" x14ac:dyDescent="0.35">
      <c r="A596" s="1" t="s">
        <v>885</v>
      </c>
      <c r="B596" s="2">
        <v>45311</v>
      </c>
      <c r="C596" s="1" t="s">
        <v>47</v>
      </c>
      <c r="D596" s="1" t="s">
        <v>1492</v>
      </c>
      <c r="E596" s="1" t="s">
        <v>21</v>
      </c>
      <c r="F596" s="1" t="s">
        <v>22</v>
      </c>
      <c r="G596" s="1">
        <v>3</v>
      </c>
      <c r="H596" s="1">
        <v>403</v>
      </c>
      <c r="I596" s="1">
        <v>1209</v>
      </c>
      <c r="J596" s="1">
        <v>132.99</v>
      </c>
      <c r="K596" s="1">
        <v>0.11</v>
      </c>
      <c r="L596" s="1">
        <v>1076.01</v>
      </c>
      <c r="M596" s="1" t="s">
        <v>18</v>
      </c>
    </row>
    <row r="597" spans="1:13" x14ac:dyDescent="0.35">
      <c r="A597" s="1" t="s">
        <v>886</v>
      </c>
      <c r="B597" s="2">
        <v>45204</v>
      </c>
      <c r="C597" s="1" t="s">
        <v>241</v>
      </c>
      <c r="D597" s="1" t="s">
        <v>1492</v>
      </c>
      <c r="E597" s="1" t="s">
        <v>16</v>
      </c>
      <c r="F597" s="1" t="s">
        <v>17</v>
      </c>
      <c r="G597" s="1">
        <v>1</v>
      </c>
      <c r="H597" s="1">
        <v>3801</v>
      </c>
      <c r="I597" s="1">
        <v>3801</v>
      </c>
      <c r="J597" s="1">
        <v>532.1400000000001</v>
      </c>
      <c r="K597" s="1">
        <v>0.14000000000000001</v>
      </c>
      <c r="L597" s="1">
        <v>3268.86</v>
      </c>
      <c r="M597" s="1" t="s">
        <v>18</v>
      </c>
    </row>
    <row r="598" spans="1:13" x14ac:dyDescent="0.35">
      <c r="A598" s="1" t="s">
        <v>887</v>
      </c>
      <c r="B598" s="2">
        <v>45361</v>
      </c>
      <c r="C598" s="1" t="s">
        <v>241</v>
      </c>
      <c r="D598" s="1" t="s">
        <v>1492</v>
      </c>
      <c r="E598" s="1" t="s">
        <v>44</v>
      </c>
      <c r="F598" s="1" t="s">
        <v>45</v>
      </c>
      <c r="G598" s="1">
        <v>3</v>
      </c>
      <c r="H598" s="1">
        <v>3244</v>
      </c>
      <c r="I598" s="1">
        <v>9732</v>
      </c>
      <c r="J598" s="1">
        <v>1654.44</v>
      </c>
      <c r="K598" s="1">
        <v>0.17</v>
      </c>
      <c r="L598" s="1">
        <v>8077.56</v>
      </c>
      <c r="M598" s="1" t="s">
        <v>18</v>
      </c>
    </row>
    <row r="599" spans="1:13" x14ac:dyDescent="0.35">
      <c r="A599" s="1" t="s">
        <v>888</v>
      </c>
      <c r="B599" s="2">
        <v>44984</v>
      </c>
      <c r="C599" s="1" t="s">
        <v>257</v>
      </c>
      <c r="D599" s="1" t="s">
        <v>1492</v>
      </c>
      <c r="E599" s="1" t="s">
        <v>29</v>
      </c>
      <c r="F599" s="1" t="s">
        <v>22</v>
      </c>
      <c r="G599" s="1">
        <v>10</v>
      </c>
      <c r="H599" s="1">
        <v>3387</v>
      </c>
      <c r="I599" s="1">
        <v>33870</v>
      </c>
      <c r="J599" s="1">
        <v>7790.1</v>
      </c>
      <c r="K599" s="1">
        <v>0.23</v>
      </c>
      <c r="L599" s="1">
        <v>26079.9</v>
      </c>
      <c r="M599" s="1" t="s">
        <v>18</v>
      </c>
    </row>
    <row r="600" spans="1:13" x14ac:dyDescent="0.35">
      <c r="A600" s="1" t="s">
        <v>889</v>
      </c>
      <c r="B600" s="2">
        <v>44945</v>
      </c>
      <c r="C600" s="1" t="s">
        <v>360</v>
      </c>
      <c r="D600" s="1" t="s">
        <v>1493</v>
      </c>
      <c r="E600" s="1" t="s">
        <v>48</v>
      </c>
      <c r="F600" s="1" t="s">
        <v>17</v>
      </c>
      <c r="G600" s="1">
        <v>7</v>
      </c>
      <c r="H600" s="1">
        <v>1054</v>
      </c>
      <c r="I600" s="1">
        <v>7378</v>
      </c>
      <c r="J600" s="1">
        <v>295.12</v>
      </c>
      <c r="K600" s="1">
        <v>0.04</v>
      </c>
      <c r="L600" s="1">
        <v>7082.88</v>
      </c>
      <c r="M600" s="1" t="s">
        <v>18</v>
      </c>
    </row>
    <row r="601" spans="1:13" x14ac:dyDescent="0.35">
      <c r="A601" s="1" t="s">
        <v>890</v>
      </c>
      <c r="B601" s="2">
        <v>45104</v>
      </c>
      <c r="C601" s="1" t="s">
        <v>388</v>
      </c>
      <c r="D601" s="1" t="s">
        <v>1493</v>
      </c>
      <c r="E601" s="1" t="s">
        <v>29</v>
      </c>
      <c r="F601" s="1" t="s">
        <v>22</v>
      </c>
      <c r="G601" s="1">
        <v>2</v>
      </c>
      <c r="H601" s="1">
        <v>3317</v>
      </c>
      <c r="I601" s="1">
        <v>6634</v>
      </c>
      <c r="J601" s="1">
        <v>1857.5200000000002</v>
      </c>
      <c r="K601" s="1">
        <v>0.28000000000000003</v>
      </c>
      <c r="L601" s="1">
        <v>4776.4799999999996</v>
      </c>
      <c r="M601" s="1" t="s">
        <v>18</v>
      </c>
    </row>
    <row r="602" spans="1:13" x14ac:dyDescent="0.35">
      <c r="A602" s="1" t="s">
        <v>891</v>
      </c>
      <c r="B602" s="2">
        <v>45040</v>
      </c>
      <c r="C602" s="1" t="s">
        <v>458</v>
      </c>
      <c r="D602" s="1" t="s">
        <v>1492</v>
      </c>
      <c r="E602" s="1" t="s">
        <v>57</v>
      </c>
      <c r="F602" s="1" t="s">
        <v>45</v>
      </c>
      <c r="G602" s="1">
        <v>4</v>
      </c>
      <c r="H602" s="1">
        <v>3665</v>
      </c>
      <c r="I602" s="1">
        <v>14660</v>
      </c>
      <c r="J602" s="1">
        <v>2638.7999999999997</v>
      </c>
      <c r="K602" s="1">
        <v>0.18</v>
      </c>
      <c r="L602" s="1">
        <v>12021.2</v>
      </c>
      <c r="M602" s="1" t="s">
        <v>18</v>
      </c>
    </row>
    <row r="603" spans="1:13" x14ac:dyDescent="0.35">
      <c r="A603" s="1" t="s">
        <v>892</v>
      </c>
      <c r="B603" s="2">
        <v>45096</v>
      </c>
      <c r="C603" s="1" t="s">
        <v>422</v>
      </c>
      <c r="D603" s="1" t="s">
        <v>1490</v>
      </c>
      <c r="E603" s="1" t="s">
        <v>32</v>
      </c>
      <c r="F603" s="1" t="s">
        <v>17</v>
      </c>
      <c r="G603" s="1">
        <v>5</v>
      </c>
      <c r="H603" s="1">
        <v>3708</v>
      </c>
      <c r="I603" s="1">
        <v>18540</v>
      </c>
      <c r="J603" s="1">
        <v>1483.2</v>
      </c>
      <c r="K603" s="1">
        <v>0.08</v>
      </c>
      <c r="L603" s="1">
        <v>17056.8</v>
      </c>
      <c r="M603" s="1" t="s">
        <v>18</v>
      </c>
    </row>
    <row r="604" spans="1:13" x14ac:dyDescent="0.35">
      <c r="A604" s="1" t="s">
        <v>893</v>
      </c>
      <c r="B604" s="2">
        <v>45032</v>
      </c>
      <c r="C604" s="1" t="s">
        <v>161</v>
      </c>
      <c r="D604" s="1" t="s">
        <v>1490</v>
      </c>
      <c r="E604" s="1" t="s">
        <v>21</v>
      </c>
      <c r="F604" s="1" t="s">
        <v>22</v>
      </c>
      <c r="G604" s="1">
        <v>1</v>
      </c>
      <c r="H604" s="1">
        <v>3487</v>
      </c>
      <c r="I604" s="1">
        <v>3487</v>
      </c>
      <c r="J604" s="1">
        <v>871.75</v>
      </c>
      <c r="K604" s="1">
        <v>0.25</v>
      </c>
      <c r="L604" s="1">
        <v>2615.25</v>
      </c>
      <c r="M604" s="1" t="s">
        <v>18</v>
      </c>
    </row>
    <row r="605" spans="1:13" x14ac:dyDescent="0.35">
      <c r="A605" s="1" t="s">
        <v>894</v>
      </c>
      <c r="B605" s="2">
        <v>45457</v>
      </c>
      <c r="C605" s="1" t="s">
        <v>183</v>
      </c>
      <c r="D605" s="1" t="s">
        <v>1490</v>
      </c>
      <c r="E605" s="1" t="s">
        <v>60</v>
      </c>
      <c r="F605" s="1" t="s">
        <v>45</v>
      </c>
      <c r="G605" s="1">
        <v>6</v>
      </c>
      <c r="H605" s="1">
        <v>4951</v>
      </c>
      <c r="I605" s="1">
        <v>29706</v>
      </c>
      <c r="J605" s="1">
        <v>7426.5</v>
      </c>
      <c r="K605" s="1">
        <v>0.25</v>
      </c>
      <c r="L605" s="1">
        <v>22279.5</v>
      </c>
      <c r="M605" s="1" t="s">
        <v>18</v>
      </c>
    </row>
    <row r="606" spans="1:13" x14ac:dyDescent="0.35">
      <c r="A606" s="1" t="s">
        <v>895</v>
      </c>
      <c r="B606" s="2">
        <v>45016</v>
      </c>
      <c r="C606" s="1" t="s">
        <v>314</v>
      </c>
      <c r="D606" s="1" t="s">
        <v>1492</v>
      </c>
      <c r="E606" s="1" t="s">
        <v>60</v>
      </c>
      <c r="F606" s="1" t="s">
        <v>45</v>
      </c>
      <c r="G606" s="1">
        <v>10</v>
      </c>
      <c r="H606" s="1">
        <v>4263</v>
      </c>
      <c r="I606" s="1">
        <v>42630</v>
      </c>
      <c r="J606" s="1">
        <v>9378.6</v>
      </c>
      <c r="K606" s="1">
        <v>0.22</v>
      </c>
      <c r="L606" s="1">
        <v>33251.4</v>
      </c>
      <c r="M606" s="1" t="s">
        <v>18</v>
      </c>
    </row>
    <row r="607" spans="1:13" x14ac:dyDescent="0.35">
      <c r="A607" s="1" t="s">
        <v>896</v>
      </c>
      <c r="B607" s="2">
        <v>45539</v>
      </c>
      <c r="C607" s="1" t="s">
        <v>849</v>
      </c>
      <c r="D607" s="1" t="s">
        <v>1492</v>
      </c>
      <c r="E607" s="1" t="s">
        <v>39</v>
      </c>
      <c r="F607" s="1" t="s">
        <v>22</v>
      </c>
      <c r="G607" s="1">
        <v>10</v>
      </c>
      <c r="H607" s="1">
        <v>733</v>
      </c>
      <c r="I607" s="1">
        <v>7330</v>
      </c>
      <c r="J607" s="1">
        <v>366.5</v>
      </c>
      <c r="K607" s="1">
        <v>0.05</v>
      </c>
      <c r="L607" s="1">
        <v>6963.5</v>
      </c>
      <c r="M607" s="1" t="s">
        <v>18</v>
      </c>
    </row>
    <row r="608" spans="1:13" x14ac:dyDescent="0.35">
      <c r="A608" s="1" t="s">
        <v>897</v>
      </c>
      <c r="B608" s="2">
        <v>45358</v>
      </c>
      <c r="C608" s="1" t="s">
        <v>146</v>
      </c>
      <c r="D608" s="1" t="s">
        <v>1491</v>
      </c>
      <c r="E608" s="1" t="s">
        <v>26</v>
      </c>
      <c r="F608" s="1" t="s">
        <v>17</v>
      </c>
      <c r="G608" s="1">
        <v>7</v>
      </c>
      <c r="H608" s="1">
        <v>562</v>
      </c>
      <c r="I608" s="1">
        <v>3934</v>
      </c>
      <c r="J608" s="1">
        <v>590.1</v>
      </c>
      <c r="K608" s="1">
        <v>0.15</v>
      </c>
      <c r="L608" s="1">
        <v>3343.9</v>
      </c>
      <c r="M608" s="1" t="s">
        <v>18</v>
      </c>
    </row>
    <row r="609" spans="1:13" x14ac:dyDescent="0.35">
      <c r="A609" s="1" t="s">
        <v>898</v>
      </c>
      <c r="B609" s="2">
        <v>45473</v>
      </c>
      <c r="C609" s="1" t="s">
        <v>82</v>
      </c>
      <c r="D609" s="1" t="s">
        <v>1490</v>
      </c>
      <c r="E609" s="1" t="s">
        <v>16</v>
      </c>
      <c r="F609" s="1" t="s">
        <v>17</v>
      </c>
      <c r="G609" s="1">
        <v>6</v>
      </c>
      <c r="H609" s="1">
        <v>4579</v>
      </c>
      <c r="I609" s="1">
        <v>27474</v>
      </c>
      <c r="J609" s="1">
        <v>549.48</v>
      </c>
      <c r="K609" s="1">
        <v>0.02</v>
      </c>
      <c r="L609" s="1">
        <v>26924.52</v>
      </c>
      <c r="M609" s="1" t="s">
        <v>18</v>
      </c>
    </row>
    <row r="610" spans="1:13" x14ac:dyDescent="0.35">
      <c r="A610" s="1" t="s">
        <v>899</v>
      </c>
      <c r="B610" s="2">
        <v>45299</v>
      </c>
      <c r="C610" s="1" t="s">
        <v>229</v>
      </c>
      <c r="D610" s="1" t="s">
        <v>1492</v>
      </c>
      <c r="E610" s="1" t="s">
        <v>48</v>
      </c>
      <c r="F610" s="1" t="s">
        <v>17</v>
      </c>
      <c r="G610" s="1">
        <v>5</v>
      </c>
      <c r="H610" s="1">
        <v>153</v>
      </c>
      <c r="I610" s="1">
        <v>765</v>
      </c>
      <c r="J610" s="1">
        <v>191.25</v>
      </c>
      <c r="K610" s="1">
        <v>0.25</v>
      </c>
      <c r="L610" s="1">
        <v>573.75</v>
      </c>
      <c r="M610" s="1" t="s">
        <v>18</v>
      </c>
    </row>
    <row r="611" spans="1:13" x14ac:dyDescent="0.35">
      <c r="A611" s="1" t="s">
        <v>900</v>
      </c>
      <c r="B611" s="2">
        <v>45177</v>
      </c>
      <c r="C611" s="1" t="s">
        <v>578</v>
      </c>
      <c r="D611" s="1" t="s">
        <v>1490</v>
      </c>
      <c r="E611" s="1" t="s">
        <v>181</v>
      </c>
      <c r="F611" s="1" t="s">
        <v>22</v>
      </c>
      <c r="G611" s="1">
        <v>10</v>
      </c>
      <c r="H611" s="1">
        <v>4379</v>
      </c>
      <c r="I611" s="1">
        <v>43790</v>
      </c>
      <c r="J611" s="1">
        <v>11823.300000000001</v>
      </c>
      <c r="K611" s="1">
        <v>0.27</v>
      </c>
      <c r="L611" s="1">
        <v>31966.7</v>
      </c>
      <c r="M611" s="1" t="s">
        <v>18</v>
      </c>
    </row>
    <row r="612" spans="1:13" x14ac:dyDescent="0.35">
      <c r="A612" s="1" t="s">
        <v>901</v>
      </c>
      <c r="B612" s="2">
        <v>45392</v>
      </c>
      <c r="C612" s="1" t="s">
        <v>518</v>
      </c>
      <c r="D612" s="1" t="s">
        <v>1492</v>
      </c>
      <c r="E612" s="1" t="s">
        <v>44</v>
      </c>
      <c r="F612" s="1" t="s">
        <v>45</v>
      </c>
      <c r="G612" s="1">
        <v>9</v>
      </c>
      <c r="H612" s="1">
        <v>202</v>
      </c>
      <c r="I612" s="1">
        <v>1818</v>
      </c>
      <c r="J612" s="1">
        <v>309.06</v>
      </c>
      <c r="K612" s="1">
        <v>0.17</v>
      </c>
      <c r="L612" s="1">
        <v>1508.94</v>
      </c>
      <c r="M612" s="1" t="s">
        <v>18</v>
      </c>
    </row>
    <row r="613" spans="1:13" x14ac:dyDescent="0.35">
      <c r="A613" s="1" t="s">
        <v>902</v>
      </c>
      <c r="B613" s="2">
        <v>45279</v>
      </c>
      <c r="C613" s="1" t="s">
        <v>148</v>
      </c>
      <c r="D613" s="1" t="s">
        <v>1493</v>
      </c>
      <c r="E613" s="1" t="s">
        <v>44</v>
      </c>
      <c r="F613" s="1" t="s">
        <v>45</v>
      </c>
      <c r="G613" s="1">
        <v>4</v>
      </c>
      <c r="H613" s="1">
        <v>3027</v>
      </c>
      <c r="I613" s="1">
        <v>12108</v>
      </c>
      <c r="J613" s="1">
        <v>3148.08</v>
      </c>
      <c r="K613" s="1">
        <v>0.26</v>
      </c>
      <c r="L613" s="1">
        <v>8959.92</v>
      </c>
      <c r="M613" s="1" t="s">
        <v>18</v>
      </c>
    </row>
    <row r="614" spans="1:13" x14ac:dyDescent="0.35">
      <c r="A614" s="1" t="s">
        <v>903</v>
      </c>
      <c r="B614" s="2">
        <v>45417</v>
      </c>
      <c r="C614" s="1" t="s">
        <v>380</v>
      </c>
      <c r="D614" s="1" t="s">
        <v>1493</v>
      </c>
      <c r="E614" s="1" t="s">
        <v>16</v>
      </c>
      <c r="F614" s="1" t="s">
        <v>17</v>
      </c>
      <c r="G614" s="1">
        <v>9</v>
      </c>
      <c r="H614" s="1">
        <v>1714</v>
      </c>
      <c r="I614" s="1">
        <v>15426</v>
      </c>
      <c r="J614" s="1">
        <v>3239.46</v>
      </c>
      <c r="K614" s="1">
        <v>0.21</v>
      </c>
      <c r="L614" s="1">
        <v>12186.54</v>
      </c>
      <c r="M614" s="1" t="s">
        <v>18</v>
      </c>
    </row>
    <row r="615" spans="1:13" x14ac:dyDescent="0.35">
      <c r="A615" s="1" t="s">
        <v>904</v>
      </c>
      <c r="B615" s="2">
        <v>45046</v>
      </c>
      <c r="C615" s="1" t="s">
        <v>248</v>
      </c>
      <c r="D615" s="1" t="s">
        <v>1492</v>
      </c>
      <c r="E615" s="1" t="s">
        <v>60</v>
      </c>
      <c r="F615" s="1" t="s">
        <v>45</v>
      </c>
      <c r="G615" s="1">
        <v>9</v>
      </c>
      <c r="H615" s="1">
        <v>3848</v>
      </c>
      <c r="I615" s="1">
        <v>34632</v>
      </c>
      <c r="J615" s="1">
        <v>9350.6400000000012</v>
      </c>
      <c r="K615" s="1">
        <v>0.27</v>
      </c>
      <c r="L615" s="1">
        <v>25281.360000000001</v>
      </c>
      <c r="M615" s="1" t="s">
        <v>18</v>
      </c>
    </row>
    <row r="616" spans="1:13" x14ac:dyDescent="0.35">
      <c r="A616" s="1" t="s">
        <v>905</v>
      </c>
      <c r="B616" s="2">
        <v>45436</v>
      </c>
      <c r="C616" s="1" t="s">
        <v>314</v>
      </c>
      <c r="D616" s="1" t="s">
        <v>1492</v>
      </c>
      <c r="E616" s="1" t="s">
        <v>26</v>
      </c>
      <c r="F616" s="1" t="s">
        <v>17</v>
      </c>
      <c r="G616" s="1">
        <v>1</v>
      </c>
      <c r="H616" s="1">
        <v>4974</v>
      </c>
      <c r="I616" s="1">
        <v>4974</v>
      </c>
      <c r="J616" s="1">
        <v>696.36</v>
      </c>
      <c r="K616" s="1">
        <v>0.14000000000000001</v>
      </c>
      <c r="L616" s="1">
        <v>4277.6400000000003</v>
      </c>
      <c r="M616" s="1" t="s">
        <v>18</v>
      </c>
    </row>
    <row r="617" spans="1:13" x14ac:dyDescent="0.35">
      <c r="A617" s="1" t="s">
        <v>906</v>
      </c>
      <c r="B617" s="2">
        <v>45526</v>
      </c>
      <c r="C617" s="1" t="s">
        <v>246</v>
      </c>
      <c r="D617" s="1" t="s">
        <v>1492</v>
      </c>
      <c r="E617" s="1" t="s">
        <v>48</v>
      </c>
      <c r="F617" s="1" t="s">
        <v>17</v>
      </c>
      <c r="G617" s="1">
        <v>2</v>
      </c>
      <c r="H617" s="1">
        <v>556</v>
      </c>
      <c r="I617" s="1">
        <v>1112</v>
      </c>
      <c r="J617" s="1">
        <v>88.960000000000008</v>
      </c>
      <c r="K617" s="1">
        <v>0.08</v>
      </c>
      <c r="L617" s="1">
        <v>1023.04</v>
      </c>
      <c r="M617" s="1" t="s">
        <v>18</v>
      </c>
    </row>
    <row r="618" spans="1:13" x14ac:dyDescent="0.35">
      <c r="A618" s="1" t="s">
        <v>907</v>
      </c>
      <c r="B618" s="2">
        <v>44965</v>
      </c>
      <c r="C618" s="1" t="s">
        <v>384</v>
      </c>
      <c r="D618" s="1" t="s">
        <v>1490</v>
      </c>
      <c r="E618" s="1" t="s">
        <v>57</v>
      </c>
      <c r="F618" s="1" t="s">
        <v>45</v>
      </c>
      <c r="G618" s="1">
        <v>6</v>
      </c>
      <c r="H618" s="1">
        <v>977</v>
      </c>
      <c r="I618" s="1">
        <v>5862</v>
      </c>
      <c r="J618" s="1">
        <v>1465.5</v>
      </c>
      <c r="K618" s="1">
        <v>0.25</v>
      </c>
      <c r="L618" s="1">
        <v>4396.5</v>
      </c>
      <c r="M618" s="1" t="s">
        <v>18</v>
      </c>
    </row>
    <row r="619" spans="1:13" x14ac:dyDescent="0.35">
      <c r="A619" s="1" t="s">
        <v>908</v>
      </c>
      <c r="B619" s="2">
        <v>45605</v>
      </c>
      <c r="C619" s="1" t="s">
        <v>302</v>
      </c>
      <c r="D619" s="1" t="s">
        <v>1491</v>
      </c>
      <c r="E619" s="1" t="s">
        <v>189</v>
      </c>
      <c r="F619" s="1" t="s">
        <v>45</v>
      </c>
      <c r="G619" s="1">
        <v>8</v>
      </c>
      <c r="H619" s="1">
        <v>3778</v>
      </c>
      <c r="I619" s="1">
        <v>30224</v>
      </c>
      <c r="J619" s="1">
        <v>7253.7599999999993</v>
      </c>
      <c r="K619" s="1">
        <v>0.24</v>
      </c>
      <c r="L619" s="1">
        <v>22970.240000000002</v>
      </c>
      <c r="M619" s="1" t="s">
        <v>18</v>
      </c>
    </row>
    <row r="620" spans="1:13" x14ac:dyDescent="0.35">
      <c r="A620" s="1" t="s">
        <v>909</v>
      </c>
      <c r="B620" s="2">
        <v>45501</v>
      </c>
      <c r="C620" s="1" t="s">
        <v>378</v>
      </c>
      <c r="D620" s="1" t="s">
        <v>1491</v>
      </c>
      <c r="E620" s="1" t="s">
        <v>57</v>
      </c>
      <c r="F620" s="1" t="s">
        <v>45</v>
      </c>
      <c r="G620" s="1">
        <v>8</v>
      </c>
      <c r="H620" s="1">
        <v>1589</v>
      </c>
      <c r="I620" s="1">
        <v>12712</v>
      </c>
      <c r="J620" s="1">
        <v>2033.92</v>
      </c>
      <c r="K620" s="1">
        <v>0.16</v>
      </c>
      <c r="L620" s="1">
        <v>10678.08</v>
      </c>
      <c r="M620" s="1" t="s">
        <v>18</v>
      </c>
    </row>
    <row r="621" spans="1:13" x14ac:dyDescent="0.35">
      <c r="A621" s="1" t="s">
        <v>910</v>
      </c>
      <c r="B621" s="2">
        <v>45586</v>
      </c>
      <c r="C621" s="1" t="s">
        <v>507</v>
      </c>
      <c r="D621" s="1" t="s">
        <v>1490</v>
      </c>
      <c r="E621" s="1" t="s">
        <v>181</v>
      </c>
      <c r="F621" s="1" t="s">
        <v>22</v>
      </c>
      <c r="G621" s="1">
        <v>4</v>
      </c>
      <c r="H621" s="1">
        <v>4043</v>
      </c>
      <c r="I621" s="1">
        <v>16172</v>
      </c>
      <c r="J621" s="1">
        <v>1293.76</v>
      </c>
      <c r="K621" s="1">
        <v>0.08</v>
      </c>
      <c r="L621" s="1">
        <v>14878.24</v>
      </c>
      <c r="M621" s="1" t="s">
        <v>18</v>
      </c>
    </row>
    <row r="622" spans="1:13" x14ac:dyDescent="0.35">
      <c r="A622" s="1" t="s">
        <v>911</v>
      </c>
      <c r="B622" s="2">
        <v>45060</v>
      </c>
      <c r="C622" s="1" t="s">
        <v>443</v>
      </c>
      <c r="D622" s="1" t="s">
        <v>1493</v>
      </c>
      <c r="E622" s="1" t="s">
        <v>181</v>
      </c>
      <c r="F622" s="1" t="s">
        <v>22</v>
      </c>
      <c r="G622" s="1">
        <v>7</v>
      </c>
      <c r="H622" s="1">
        <v>4312</v>
      </c>
      <c r="I622" s="1">
        <v>30184</v>
      </c>
      <c r="J622" s="1">
        <v>4829.4400000000005</v>
      </c>
      <c r="K622" s="1">
        <v>0.16</v>
      </c>
      <c r="L622" s="1">
        <v>25354.560000000001</v>
      </c>
      <c r="M622" s="1" t="s">
        <v>18</v>
      </c>
    </row>
    <row r="623" spans="1:13" x14ac:dyDescent="0.35">
      <c r="A623" s="1" t="s">
        <v>912</v>
      </c>
      <c r="B623" s="2">
        <v>44936</v>
      </c>
      <c r="C623" s="1" t="s">
        <v>549</v>
      </c>
      <c r="D623" s="1" t="s">
        <v>1490</v>
      </c>
      <c r="E623" s="1" t="s">
        <v>32</v>
      </c>
      <c r="F623" s="1" t="s">
        <v>17</v>
      </c>
      <c r="G623" s="1">
        <v>4</v>
      </c>
      <c r="H623" s="1">
        <v>4890</v>
      </c>
      <c r="I623" s="1">
        <v>19560</v>
      </c>
      <c r="J623" s="1">
        <v>4107.5999999999995</v>
      </c>
      <c r="K623" s="1">
        <v>0.21</v>
      </c>
      <c r="L623" s="1">
        <v>15452.4</v>
      </c>
      <c r="M623" s="1" t="s">
        <v>18</v>
      </c>
    </row>
    <row r="624" spans="1:13" x14ac:dyDescent="0.35">
      <c r="A624" s="1" t="s">
        <v>913</v>
      </c>
      <c r="B624" s="2">
        <v>45063</v>
      </c>
      <c r="C624" s="1" t="s">
        <v>422</v>
      </c>
      <c r="D624" s="1" t="s">
        <v>1490</v>
      </c>
      <c r="E624" s="1" t="s">
        <v>189</v>
      </c>
      <c r="F624" s="1" t="s">
        <v>45</v>
      </c>
      <c r="G624" s="1">
        <v>10</v>
      </c>
      <c r="H624" s="1">
        <v>4154</v>
      </c>
      <c r="I624" s="1">
        <v>41540</v>
      </c>
      <c r="J624" s="1">
        <v>4154</v>
      </c>
      <c r="K624" s="1">
        <v>0.1</v>
      </c>
      <c r="L624" s="1">
        <v>37386</v>
      </c>
      <c r="M624" s="1" t="s">
        <v>18</v>
      </c>
    </row>
    <row r="625" spans="1:13" x14ac:dyDescent="0.35">
      <c r="A625" s="1" t="s">
        <v>914</v>
      </c>
      <c r="B625" s="2">
        <v>45535</v>
      </c>
      <c r="C625" s="1" t="s">
        <v>394</v>
      </c>
      <c r="D625" s="1" t="s">
        <v>1491</v>
      </c>
      <c r="E625" s="1" t="s">
        <v>16</v>
      </c>
      <c r="F625" s="1" t="s">
        <v>17</v>
      </c>
      <c r="G625" s="1">
        <v>5</v>
      </c>
      <c r="H625" s="1">
        <v>3046</v>
      </c>
      <c r="I625" s="1">
        <v>15230</v>
      </c>
      <c r="J625" s="1">
        <v>4416.7</v>
      </c>
      <c r="K625" s="1">
        <v>0.28999999999999998</v>
      </c>
      <c r="L625" s="1">
        <v>10813.3</v>
      </c>
      <c r="M625" s="1" t="s">
        <v>18</v>
      </c>
    </row>
    <row r="626" spans="1:13" x14ac:dyDescent="0.35">
      <c r="A626" s="1" t="s">
        <v>915</v>
      </c>
      <c r="B626" s="2">
        <v>44958</v>
      </c>
      <c r="C626" s="1" t="s">
        <v>191</v>
      </c>
      <c r="D626" s="1" t="s">
        <v>1492</v>
      </c>
      <c r="E626" s="1" t="s">
        <v>48</v>
      </c>
      <c r="F626" s="1" t="s">
        <v>17</v>
      </c>
      <c r="G626" s="1">
        <v>8</v>
      </c>
      <c r="H626" s="1">
        <v>2476</v>
      </c>
      <c r="I626" s="1">
        <v>19808</v>
      </c>
      <c r="J626" s="1">
        <v>3565.44</v>
      </c>
      <c r="K626" s="1">
        <v>0.18</v>
      </c>
      <c r="L626" s="1">
        <v>16242.56</v>
      </c>
      <c r="M626" s="1" t="s">
        <v>18</v>
      </c>
    </row>
    <row r="627" spans="1:13" x14ac:dyDescent="0.35">
      <c r="A627" s="1" t="s">
        <v>916</v>
      </c>
      <c r="B627" s="2">
        <v>45229</v>
      </c>
      <c r="C627" s="1" t="s">
        <v>339</v>
      </c>
      <c r="D627" s="1" t="s">
        <v>1490</v>
      </c>
      <c r="E627" s="1" t="s">
        <v>26</v>
      </c>
      <c r="F627" s="1" t="s">
        <v>17</v>
      </c>
      <c r="G627" s="1">
        <v>5</v>
      </c>
      <c r="H627" s="1">
        <v>3684</v>
      </c>
      <c r="I627" s="1">
        <v>18420</v>
      </c>
      <c r="J627" s="1">
        <v>3684</v>
      </c>
      <c r="K627" s="1">
        <v>0.2</v>
      </c>
      <c r="L627" s="1">
        <v>14736</v>
      </c>
      <c r="M627" s="1" t="s">
        <v>18</v>
      </c>
    </row>
    <row r="628" spans="1:13" x14ac:dyDescent="0.35">
      <c r="A628" s="1" t="s">
        <v>917</v>
      </c>
      <c r="B628" s="2">
        <v>45224</v>
      </c>
      <c r="C628" s="1" t="s">
        <v>165</v>
      </c>
      <c r="D628" s="1" t="s">
        <v>1490</v>
      </c>
      <c r="E628" s="1" t="s">
        <v>44</v>
      </c>
      <c r="F628" s="1" t="s">
        <v>45</v>
      </c>
      <c r="G628" s="1">
        <v>2</v>
      </c>
      <c r="H628" s="1">
        <v>3940</v>
      </c>
      <c r="I628" s="1">
        <v>7880</v>
      </c>
      <c r="J628" s="1">
        <v>472.79999999999995</v>
      </c>
      <c r="K628" s="1">
        <v>0.06</v>
      </c>
      <c r="L628" s="1">
        <v>7407.2</v>
      </c>
      <c r="M628" s="1" t="s">
        <v>18</v>
      </c>
    </row>
    <row r="629" spans="1:13" x14ac:dyDescent="0.35">
      <c r="A629" s="1" t="s">
        <v>918</v>
      </c>
      <c r="B629" s="2">
        <v>45569</v>
      </c>
      <c r="C629" s="1" t="s">
        <v>107</v>
      </c>
      <c r="D629" s="1" t="s">
        <v>1490</v>
      </c>
      <c r="E629" s="1" t="s">
        <v>60</v>
      </c>
      <c r="F629" s="1" t="s">
        <v>45</v>
      </c>
      <c r="G629" s="1">
        <v>2</v>
      </c>
      <c r="H629" s="1">
        <v>3557</v>
      </c>
      <c r="I629" s="1">
        <v>7114</v>
      </c>
      <c r="J629" s="1">
        <v>71.14</v>
      </c>
      <c r="K629" s="1">
        <v>0.01</v>
      </c>
      <c r="L629" s="1">
        <v>7042.86</v>
      </c>
      <c r="M629" s="1" t="s">
        <v>18</v>
      </c>
    </row>
    <row r="630" spans="1:13" x14ac:dyDescent="0.35">
      <c r="A630" s="1" t="s">
        <v>919</v>
      </c>
      <c r="B630" s="2">
        <v>44981</v>
      </c>
      <c r="C630" s="1" t="s">
        <v>136</v>
      </c>
      <c r="D630" s="1" t="s">
        <v>1490</v>
      </c>
      <c r="E630" s="1" t="s">
        <v>181</v>
      </c>
      <c r="F630" s="1" t="s">
        <v>22</v>
      </c>
      <c r="G630" s="1">
        <v>3</v>
      </c>
      <c r="H630" s="1">
        <v>978</v>
      </c>
      <c r="I630" s="1">
        <v>2934</v>
      </c>
      <c r="J630" s="1">
        <v>733.5</v>
      </c>
      <c r="K630" s="1">
        <v>0.25</v>
      </c>
      <c r="L630" s="1">
        <v>2200.5</v>
      </c>
      <c r="M630" s="1" t="s">
        <v>18</v>
      </c>
    </row>
    <row r="631" spans="1:13" x14ac:dyDescent="0.35">
      <c r="A631" s="1" t="s">
        <v>920</v>
      </c>
      <c r="B631" s="2">
        <v>45260</v>
      </c>
      <c r="C631" s="1" t="s">
        <v>344</v>
      </c>
      <c r="D631" s="1" t="s">
        <v>1492</v>
      </c>
      <c r="E631" s="1" t="s">
        <v>29</v>
      </c>
      <c r="F631" s="1" t="s">
        <v>22</v>
      </c>
      <c r="G631" s="1">
        <v>1</v>
      </c>
      <c r="H631" s="1">
        <v>3510</v>
      </c>
      <c r="I631" s="1">
        <v>3510</v>
      </c>
      <c r="J631" s="1">
        <v>280.8</v>
      </c>
      <c r="K631" s="1">
        <v>0.08</v>
      </c>
      <c r="L631" s="1">
        <v>3229.2</v>
      </c>
      <c r="M631" s="1" t="s">
        <v>18</v>
      </c>
    </row>
    <row r="632" spans="1:13" x14ac:dyDescent="0.35">
      <c r="A632" s="1" t="s">
        <v>921</v>
      </c>
      <c r="B632" s="2">
        <v>45001</v>
      </c>
      <c r="C632" s="1" t="s">
        <v>212</v>
      </c>
      <c r="D632" s="1" t="s">
        <v>1491</v>
      </c>
      <c r="E632" s="1" t="s">
        <v>39</v>
      </c>
      <c r="F632" s="1" t="s">
        <v>22</v>
      </c>
      <c r="G632" s="1">
        <v>5</v>
      </c>
      <c r="H632" s="1">
        <v>2246</v>
      </c>
      <c r="I632" s="1">
        <v>11230</v>
      </c>
      <c r="J632" s="1">
        <v>2919.8</v>
      </c>
      <c r="K632" s="1">
        <v>0.26</v>
      </c>
      <c r="L632" s="1">
        <v>8310.2000000000007</v>
      </c>
      <c r="M632" s="1" t="s">
        <v>18</v>
      </c>
    </row>
    <row r="633" spans="1:13" x14ac:dyDescent="0.35">
      <c r="A633" s="1" t="s">
        <v>922</v>
      </c>
      <c r="B633" s="2">
        <v>44978</v>
      </c>
      <c r="C633" s="1" t="s">
        <v>500</v>
      </c>
      <c r="D633" s="1" t="s">
        <v>1492</v>
      </c>
      <c r="E633" s="1" t="s">
        <v>60</v>
      </c>
      <c r="F633" s="1" t="s">
        <v>45</v>
      </c>
      <c r="G633" s="1">
        <v>6</v>
      </c>
      <c r="H633" s="1">
        <v>1255</v>
      </c>
      <c r="I633" s="1">
        <v>7530</v>
      </c>
      <c r="J633" s="1">
        <v>903.6</v>
      </c>
      <c r="K633" s="1">
        <v>0.12</v>
      </c>
      <c r="L633" s="1">
        <v>6626.4</v>
      </c>
      <c r="M633" s="1" t="s">
        <v>18</v>
      </c>
    </row>
    <row r="634" spans="1:13" x14ac:dyDescent="0.35">
      <c r="A634" s="1" t="s">
        <v>923</v>
      </c>
      <c r="B634" s="2">
        <v>45649</v>
      </c>
      <c r="C634" s="1" t="s">
        <v>328</v>
      </c>
      <c r="D634" s="1" t="s">
        <v>1493</v>
      </c>
      <c r="E634" s="1" t="s">
        <v>181</v>
      </c>
      <c r="F634" s="1" t="s">
        <v>22</v>
      </c>
      <c r="G634" s="1">
        <v>5</v>
      </c>
      <c r="H634" s="1">
        <v>2824</v>
      </c>
      <c r="I634" s="1">
        <v>14120</v>
      </c>
      <c r="J634" s="1">
        <v>2824</v>
      </c>
      <c r="K634" s="1">
        <v>0.2</v>
      </c>
      <c r="L634" s="1">
        <v>11296</v>
      </c>
      <c r="M634" s="1" t="s">
        <v>18</v>
      </c>
    </row>
    <row r="635" spans="1:13" x14ac:dyDescent="0.35">
      <c r="A635" s="1" t="s">
        <v>924</v>
      </c>
      <c r="B635" s="2">
        <v>45129</v>
      </c>
      <c r="C635" s="1" t="s">
        <v>161</v>
      </c>
      <c r="D635" s="1" t="s">
        <v>1490</v>
      </c>
      <c r="E635" s="1" t="s">
        <v>32</v>
      </c>
      <c r="F635" s="1" t="s">
        <v>17</v>
      </c>
      <c r="G635" s="1">
        <v>5</v>
      </c>
      <c r="H635" s="1">
        <v>3553</v>
      </c>
      <c r="I635" s="1">
        <v>17765</v>
      </c>
      <c r="J635" s="1">
        <v>1954.15</v>
      </c>
      <c r="K635" s="1">
        <v>0.11</v>
      </c>
      <c r="L635" s="1">
        <v>15810.85</v>
      </c>
      <c r="M635" s="1" t="s">
        <v>18</v>
      </c>
    </row>
    <row r="636" spans="1:13" x14ac:dyDescent="0.35">
      <c r="A636" s="1" t="s">
        <v>925</v>
      </c>
      <c r="B636" s="2">
        <v>45085</v>
      </c>
      <c r="C636" s="1" t="s">
        <v>136</v>
      </c>
      <c r="D636" s="1" t="s">
        <v>1490</v>
      </c>
      <c r="E636" s="1" t="s">
        <v>189</v>
      </c>
      <c r="F636" s="1" t="s">
        <v>45</v>
      </c>
      <c r="G636" s="1">
        <v>2</v>
      </c>
      <c r="H636" s="1">
        <v>3543</v>
      </c>
      <c r="I636" s="1">
        <v>7086</v>
      </c>
      <c r="J636" s="1">
        <v>779.46</v>
      </c>
      <c r="K636" s="1">
        <v>0.11</v>
      </c>
      <c r="L636" s="1">
        <v>6306.54</v>
      </c>
      <c r="M636" s="1" t="s">
        <v>18</v>
      </c>
    </row>
    <row r="637" spans="1:13" x14ac:dyDescent="0.35">
      <c r="A637" s="1" t="s">
        <v>926</v>
      </c>
      <c r="B637" s="2">
        <v>45081</v>
      </c>
      <c r="C637" s="1" t="s">
        <v>105</v>
      </c>
      <c r="D637" s="1" t="s">
        <v>1493</v>
      </c>
      <c r="E637" s="1" t="s">
        <v>16</v>
      </c>
      <c r="F637" s="1" t="s">
        <v>17</v>
      </c>
      <c r="G637" s="1">
        <v>2</v>
      </c>
      <c r="H637" s="1">
        <v>1274</v>
      </c>
      <c r="I637" s="1">
        <v>2548</v>
      </c>
      <c r="J637" s="1">
        <v>687.96</v>
      </c>
      <c r="K637" s="1">
        <v>0.27</v>
      </c>
      <c r="L637" s="1">
        <v>1860.04</v>
      </c>
      <c r="M637" s="1" t="s">
        <v>18</v>
      </c>
    </row>
    <row r="638" spans="1:13" x14ac:dyDescent="0.35">
      <c r="A638" s="1" t="s">
        <v>927</v>
      </c>
      <c r="B638" s="2">
        <v>45476</v>
      </c>
      <c r="C638" s="1" t="s">
        <v>617</v>
      </c>
      <c r="D638" s="1" t="s">
        <v>1491</v>
      </c>
      <c r="E638" s="1" t="s">
        <v>16</v>
      </c>
      <c r="F638" s="1" t="s">
        <v>17</v>
      </c>
      <c r="G638" s="1">
        <v>1</v>
      </c>
      <c r="H638" s="1">
        <v>1898</v>
      </c>
      <c r="I638" s="1">
        <v>1898</v>
      </c>
      <c r="J638" s="1">
        <v>455.52</v>
      </c>
      <c r="K638" s="1">
        <v>0.24</v>
      </c>
      <c r="L638" s="1">
        <v>1442.48</v>
      </c>
      <c r="M638" s="1" t="s">
        <v>18</v>
      </c>
    </row>
    <row r="639" spans="1:13" x14ac:dyDescent="0.35">
      <c r="A639" s="1" t="s">
        <v>928</v>
      </c>
      <c r="B639" s="2">
        <v>44958</v>
      </c>
      <c r="C639" s="1" t="s">
        <v>120</v>
      </c>
      <c r="D639" s="1" t="s">
        <v>1490</v>
      </c>
      <c r="E639" s="1" t="s">
        <v>57</v>
      </c>
      <c r="F639" s="1" t="s">
        <v>45</v>
      </c>
      <c r="G639" s="1">
        <v>10</v>
      </c>
      <c r="H639" s="1">
        <v>1426</v>
      </c>
      <c r="I639" s="1">
        <v>14260</v>
      </c>
      <c r="J639" s="1">
        <v>2566.7999999999997</v>
      </c>
      <c r="K639" s="1">
        <v>0.18</v>
      </c>
      <c r="L639" s="1">
        <v>11693.2</v>
      </c>
      <c r="M639" s="1" t="s">
        <v>18</v>
      </c>
    </row>
    <row r="640" spans="1:13" x14ac:dyDescent="0.35">
      <c r="A640" s="1" t="s">
        <v>929</v>
      </c>
      <c r="B640" s="2">
        <v>44936</v>
      </c>
      <c r="C640" s="1" t="s">
        <v>14</v>
      </c>
      <c r="D640" s="1" t="s">
        <v>1490</v>
      </c>
      <c r="E640" s="1" t="s">
        <v>16</v>
      </c>
      <c r="F640" s="1" t="s">
        <v>17</v>
      </c>
      <c r="G640" s="1">
        <v>8</v>
      </c>
      <c r="H640" s="1">
        <v>1943</v>
      </c>
      <c r="I640" s="1">
        <v>15544</v>
      </c>
      <c r="J640" s="1">
        <v>0</v>
      </c>
      <c r="K640" s="1">
        <v>0</v>
      </c>
      <c r="L640" s="1">
        <v>15544</v>
      </c>
      <c r="M640" s="1" t="s">
        <v>18</v>
      </c>
    </row>
    <row r="641" spans="1:13" x14ac:dyDescent="0.35">
      <c r="A641" s="1" t="s">
        <v>930</v>
      </c>
      <c r="B641" s="2">
        <v>44962</v>
      </c>
      <c r="C641" s="1" t="s">
        <v>794</v>
      </c>
      <c r="D641" s="1" t="s">
        <v>1491</v>
      </c>
      <c r="E641" s="1" t="s">
        <v>26</v>
      </c>
      <c r="F641" s="1" t="s">
        <v>17</v>
      </c>
      <c r="G641" s="1">
        <v>2</v>
      </c>
      <c r="H641" s="1">
        <v>2643</v>
      </c>
      <c r="I641" s="1">
        <v>5286</v>
      </c>
      <c r="J641" s="1">
        <v>422.88</v>
      </c>
      <c r="K641" s="1">
        <v>0.08</v>
      </c>
      <c r="L641" s="1">
        <v>4863.12</v>
      </c>
      <c r="M641" s="1" t="s">
        <v>18</v>
      </c>
    </row>
    <row r="642" spans="1:13" x14ac:dyDescent="0.35">
      <c r="A642" s="1" t="s">
        <v>931</v>
      </c>
      <c r="B642" s="2">
        <v>45161</v>
      </c>
      <c r="C642" s="1" t="s">
        <v>208</v>
      </c>
      <c r="D642" s="1" t="s">
        <v>1490</v>
      </c>
      <c r="E642" s="1" t="s">
        <v>39</v>
      </c>
      <c r="F642" s="1" t="s">
        <v>22</v>
      </c>
      <c r="G642" s="1">
        <v>1</v>
      </c>
      <c r="H642" s="1">
        <v>4236</v>
      </c>
      <c r="I642" s="1">
        <v>4236</v>
      </c>
      <c r="J642" s="1">
        <v>169.44</v>
      </c>
      <c r="K642" s="1">
        <v>0.04</v>
      </c>
      <c r="L642" s="1">
        <v>4066.56</v>
      </c>
      <c r="M642" s="1" t="s">
        <v>18</v>
      </c>
    </row>
    <row r="643" spans="1:13" x14ac:dyDescent="0.35">
      <c r="A643" s="1" t="s">
        <v>932</v>
      </c>
      <c r="B643" s="2">
        <v>45451</v>
      </c>
      <c r="C643" s="1" t="s">
        <v>493</v>
      </c>
      <c r="D643" s="1" t="s">
        <v>1491</v>
      </c>
      <c r="E643" s="1" t="s">
        <v>32</v>
      </c>
      <c r="F643" s="1" t="s">
        <v>17</v>
      </c>
      <c r="G643" s="1">
        <v>7</v>
      </c>
      <c r="H643" s="1">
        <v>1741</v>
      </c>
      <c r="I643" s="1">
        <v>12187</v>
      </c>
      <c r="J643" s="1">
        <v>121.87</v>
      </c>
      <c r="K643" s="1">
        <v>0.01</v>
      </c>
      <c r="L643" s="1">
        <v>12065.13</v>
      </c>
      <c r="M643" s="1" t="s">
        <v>18</v>
      </c>
    </row>
    <row r="644" spans="1:13" x14ac:dyDescent="0.35">
      <c r="A644" s="1" t="s">
        <v>933</v>
      </c>
      <c r="B644" s="2">
        <v>45283</v>
      </c>
      <c r="C644" s="1" t="s">
        <v>292</v>
      </c>
      <c r="D644" s="1" t="s">
        <v>1490</v>
      </c>
      <c r="E644" s="1" t="s">
        <v>21</v>
      </c>
      <c r="F644" s="1" t="s">
        <v>22</v>
      </c>
      <c r="G644" s="1">
        <v>3</v>
      </c>
      <c r="H644" s="1">
        <v>388</v>
      </c>
      <c r="I644" s="1">
        <v>1164</v>
      </c>
      <c r="J644" s="1">
        <v>174.6</v>
      </c>
      <c r="K644" s="1">
        <v>0.15</v>
      </c>
      <c r="L644" s="1">
        <v>989.4</v>
      </c>
      <c r="M644" s="1" t="s">
        <v>18</v>
      </c>
    </row>
    <row r="645" spans="1:13" x14ac:dyDescent="0.35">
      <c r="A645" s="1" t="s">
        <v>934</v>
      </c>
      <c r="B645" s="2">
        <v>45404</v>
      </c>
      <c r="C645" s="1" t="s">
        <v>549</v>
      </c>
      <c r="D645" s="1" t="s">
        <v>1490</v>
      </c>
      <c r="E645" s="1" t="s">
        <v>181</v>
      </c>
      <c r="F645" s="1" t="s">
        <v>22</v>
      </c>
      <c r="G645" s="1">
        <v>6</v>
      </c>
      <c r="H645" s="1">
        <v>1982</v>
      </c>
      <c r="I645" s="1">
        <v>11892</v>
      </c>
      <c r="J645" s="1">
        <v>2973</v>
      </c>
      <c r="K645" s="1">
        <v>0.25</v>
      </c>
      <c r="L645" s="1">
        <v>8919</v>
      </c>
      <c r="M645" s="1" t="s">
        <v>18</v>
      </c>
    </row>
    <row r="646" spans="1:13" x14ac:dyDescent="0.35">
      <c r="A646" s="1" t="s">
        <v>935</v>
      </c>
      <c r="B646" s="2">
        <v>45493</v>
      </c>
      <c r="C646" s="1" t="s">
        <v>231</v>
      </c>
      <c r="D646" s="1" t="s">
        <v>1491</v>
      </c>
      <c r="E646" s="1" t="s">
        <v>21</v>
      </c>
      <c r="F646" s="1" t="s">
        <v>22</v>
      </c>
      <c r="G646" s="1">
        <v>9</v>
      </c>
      <c r="H646" s="1">
        <v>3764</v>
      </c>
      <c r="I646" s="1">
        <v>33876</v>
      </c>
      <c r="J646" s="1">
        <v>9485.2800000000007</v>
      </c>
      <c r="K646" s="1">
        <v>0.28000000000000003</v>
      </c>
      <c r="L646" s="1">
        <v>24390.720000000001</v>
      </c>
      <c r="M646" s="1" t="s">
        <v>18</v>
      </c>
    </row>
    <row r="647" spans="1:13" x14ac:dyDescent="0.35">
      <c r="A647" s="1" t="s">
        <v>936</v>
      </c>
      <c r="B647" s="2">
        <v>45479</v>
      </c>
      <c r="C647" s="1" t="s">
        <v>332</v>
      </c>
      <c r="D647" s="1" t="s">
        <v>1490</v>
      </c>
      <c r="E647" s="1" t="s">
        <v>32</v>
      </c>
      <c r="F647" s="1" t="s">
        <v>17</v>
      </c>
      <c r="G647" s="1">
        <v>7</v>
      </c>
      <c r="H647" s="1">
        <v>4635</v>
      </c>
      <c r="I647" s="1">
        <v>32445</v>
      </c>
      <c r="J647" s="1">
        <v>5840.0999999999995</v>
      </c>
      <c r="K647" s="1">
        <v>0.18</v>
      </c>
      <c r="L647" s="1">
        <v>26604.9</v>
      </c>
      <c r="M647" s="1" t="s">
        <v>18</v>
      </c>
    </row>
    <row r="648" spans="1:13" x14ac:dyDescent="0.35">
      <c r="A648" s="1" t="s">
        <v>937</v>
      </c>
      <c r="B648" s="2">
        <v>45017</v>
      </c>
      <c r="C648" s="1" t="s">
        <v>570</v>
      </c>
      <c r="D648" s="1" t="s">
        <v>1493</v>
      </c>
      <c r="E648" s="1" t="s">
        <v>189</v>
      </c>
      <c r="F648" s="1" t="s">
        <v>45</v>
      </c>
      <c r="G648" s="1">
        <v>3</v>
      </c>
      <c r="H648" s="1">
        <v>2140</v>
      </c>
      <c r="I648" s="1">
        <v>6420</v>
      </c>
      <c r="J648" s="1">
        <v>64.2</v>
      </c>
      <c r="K648" s="1">
        <v>0.01</v>
      </c>
      <c r="L648" s="1">
        <v>6355.8</v>
      </c>
      <c r="M648" s="1" t="s">
        <v>18</v>
      </c>
    </row>
    <row r="649" spans="1:13" x14ac:dyDescent="0.35">
      <c r="A649" s="1" t="s">
        <v>938</v>
      </c>
      <c r="B649" s="2">
        <v>45272</v>
      </c>
      <c r="C649" s="1" t="s">
        <v>24</v>
      </c>
      <c r="D649" s="1" t="s">
        <v>1491</v>
      </c>
      <c r="E649" s="1" t="s">
        <v>16</v>
      </c>
      <c r="F649" s="1" t="s">
        <v>17</v>
      </c>
      <c r="G649" s="1">
        <v>4</v>
      </c>
      <c r="H649" s="1">
        <v>211</v>
      </c>
      <c r="I649" s="1">
        <v>844</v>
      </c>
      <c r="J649" s="1">
        <v>211</v>
      </c>
      <c r="K649" s="1">
        <v>0.25</v>
      </c>
      <c r="L649" s="1">
        <v>633</v>
      </c>
      <c r="M649" s="1" t="s">
        <v>18</v>
      </c>
    </row>
    <row r="650" spans="1:13" x14ac:dyDescent="0.35">
      <c r="A650" s="1" t="s">
        <v>939</v>
      </c>
      <c r="B650" s="2">
        <v>45476</v>
      </c>
      <c r="C650" s="1" t="s">
        <v>212</v>
      </c>
      <c r="D650" s="1" t="s">
        <v>1491</v>
      </c>
      <c r="E650" s="1" t="s">
        <v>16</v>
      </c>
      <c r="F650" s="1" t="s">
        <v>17</v>
      </c>
      <c r="G650" s="1">
        <v>2</v>
      </c>
      <c r="H650" s="1">
        <v>3726</v>
      </c>
      <c r="I650" s="1">
        <v>7452</v>
      </c>
      <c r="J650" s="1">
        <v>521.6400000000001</v>
      </c>
      <c r="K650" s="1">
        <v>7.0000000000000007E-2</v>
      </c>
      <c r="L650" s="1">
        <v>6930.36</v>
      </c>
      <c r="M650" s="1" t="s">
        <v>18</v>
      </c>
    </row>
    <row r="651" spans="1:13" x14ac:dyDescent="0.35">
      <c r="A651" s="1" t="s">
        <v>940</v>
      </c>
      <c r="B651" s="2">
        <v>45207</v>
      </c>
      <c r="C651" s="1" t="s">
        <v>43</v>
      </c>
      <c r="D651" s="1" t="s">
        <v>1490</v>
      </c>
      <c r="E651" s="1" t="s">
        <v>44</v>
      </c>
      <c r="F651" s="1" t="s">
        <v>45</v>
      </c>
      <c r="G651" s="1">
        <v>1</v>
      </c>
      <c r="H651" s="1">
        <v>2981</v>
      </c>
      <c r="I651" s="1">
        <v>2981</v>
      </c>
      <c r="J651" s="1">
        <v>59.620000000000005</v>
      </c>
      <c r="K651" s="1">
        <v>0.02</v>
      </c>
      <c r="L651" s="1">
        <v>2921.38</v>
      </c>
      <c r="M651" s="1" t="s">
        <v>18</v>
      </c>
    </row>
    <row r="652" spans="1:13" x14ac:dyDescent="0.35">
      <c r="A652" s="1" t="s">
        <v>941</v>
      </c>
      <c r="B652" s="2">
        <v>45481</v>
      </c>
      <c r="C652" s="1" t="s">
        <v>611</v>
      </c>
      <c r="D652" s="1" t="s">
        <v>1490</v>
      </c>
      <c r="E652" s="1" t="s">
        <v>181</v>
      </c>
      <c r="F652" s="1" t="s">
        <v>22</v>
      </c>
      <c r="G652" s="1">
        <v>7</v>
      </c>
      <c r="H652" s="1">
        <v>1566</v>
      </c>
      <c r="I652" s="1">
        <v>10962</v>
      </c>
      <c r="J652" s="1">
        <v>1534.68</v>
      </c>
      <c r="K652" s="1">
        <v>0.14000000000000001</v>
      </c>
      <c r="L652" s="1">
        <v>9427.32</v>
      </c>
      <c r="M652" s="1" t="s">
        <v>18</v>
      </c>
    </row>
    <row r="653" spans="1:13" x14ac:dyDescent="0.35">
      <c r="A653" s="1" t="s">
        <v>942</v>
      </c>
      <c r="B653" s="2">
        <v>45209</v>
      </c>
      <c r="C653" s="1" t="s">
        <v>41</v>
      </c>
      <c r="D653" s="1" t="s">
        <v>1490</v>
      </c>
      <c r="E653" s="1" t="s">
        <v>32</v>
      </c>
      <c r="F653" s="1" t="s">
        <v>17</v>
      </c>
      <c r="G653" s="1">
        <v>8</v>
      </c>
      <c r="H653" s="1">
        <v>2581</v>
      </c>
      <c r="I653" s="1">
        <v>20648</v>
      </c>
      <c r="J653" s="1">
        <v>4336.08</v>
      </c>
      <c r="K653" s="1">
        <v>0.21</v>
      </c>
      <c r="L653" s="1">
        <v>16311.92</v>
      </c>
      <c r="M653" s="1" t="s">
        <v>18</v>
      </c>
    </row>
    <row r="654" spans="1:13" x14ac:dyDescent="0.35">
      <c r="A654" s="1" t="s">
        <v>943</v>
      </c>
      <c r="B654" s="2">
        <v>45344</v>
      </c>
      <c r="C654" s="1" t="s">
        <v>498</v>
      </c>
      <c r="D654" s="1" t="s">
        <v>1493</v>
      </c>
      <c r="E654" s="1" t="s">
        <v>48</v>
      </c>
      <c r="F654" s="1" t="s">
        <v>17</v>
      </c>
      <c r="G654" s="1">
        <v>6</v>
      </c>
      <c r="H654" s="1">
        <v>1830</v>
      </c>
      <c r="I654" s="1">
        <v>10980</v>
      </c>
      <c r="J654" s="1">
        <v>2196</v>
      </c>
      <c r="K654" s="1">
        <v>0.2</v>
      </c>
      <c r="L654" s="1">
        <v>8784</v>
      </c>
      <c r="M654" s="1" t="s">
        <v>18</v>
      </c>
    </row>
    <row r="655" spans="1:13" x14ac:dyDescent="0.35">
      <c r="A655" s="1" t="s">
        <v>944</v>
      </c>
      <c r="B655" s="2">
        <v>45341</v>
      </c>
      <c r="C655" s="1" t="s">
        <v>296</v>
      </c>
      <c r="D655" s="1" t="s">
        <v>1491</v>
      </c>
      <c r="E655" s="1" t="s">
        <v>16</v>
      </c>
      <c r="F655" s="1" t="s">
        <v>17</v>
      </c>
      <c r="G655" s="1">
        <v>9</v>
      </c>
      <c r="H655" s="1">
        <v>4760</v>
      </c>
      <c r="I655" s="1">
        <v>42840</v>
      </c>
      <c r="J655" s="1">
        <v>7282.8</v>
      </c>
      <c r="K655" s="1">
        <v>0.17</v>
      </c>
      <c r="L655" s="1">
        <v>35557.199999999997</v>
      </c>
      <c r="M655" s="1" t="s">
        <v>18</v>
      </c>
    </row>
    <row r="656" spans="1:13" x14ac:dyDescent="0.35">
      <c r="A656" s="1" t="s">
        <v>945</v>
      </c>
      <c r="B656" s="2">
        <v>45500</v>
      </c>
      <c r="C656" s="1" t="s">
        <v>747</v>
      </c>
      <c r="D656" s="1" t="s">
        <v>1490</v>
      </c>
      <c r="E656" s="1" t="s">
        <v>57</v>
      </c>
      <c r="F656" s="1" t="s">
        <v>45</v>
      </c>
      <c r="G656" s="1">
        <v>4</v>
      </c>
      <c r="H656" s="1">
        <v>3757</v>
      </c>
      <c r="I656" s="1">
        <v>15028</v>
      </c>
      <c r="J656" s="1">
        <v>601.12</v>
      </c>
      <c r="K656" s="1">
        <v>0.04</v>
      </c>
      <c r="L656" s="1">
        <v>14426.88</v>
      </c>
      <c r="M656" s="1" t="s">
        <v>18</v>
      </c>
    </row>
    <row r="657" spans="1:13" x14ac:dyDescent="0.35">
      <c r="A657" s="1" t="s">
        <v>946</v>
      </c>
      <c r="B657" s="2">
        <v>45090</v>
      </c>
      <c r="C657" s="1" t="s">
        <v>62</v>
      </c>
      <c r="D657" s="1" t="s">
        <v>1492</v>
      </c>
      <c r="E657" s="1" t="s">
        <v>39</v>
      </c>
      <c r="F657" s="1" t="s">
        <v>22</v>
      </c>
      <c r="G657" s="1">
        <v>9</v>
      </c>
      <c r="H657" s="1">
        <v>4788</v>
      </c>
      <c r="I657" s="1">
        <v>43092</v>
      </c>
      <c r="J657" s="1">
        <v>430.92</v>
      </c>
      <c r="K657" s="1">
        <v>0.01</v>
      </c>
      <c r="L657" s="1">
        <v>42661.08</v>
      </c>
      <c r="M657" s="1" t="s">
        <v>18</v>
      </c>
    </row>
    <row r="658" spans="1:13" x14ac:dyDescent="0.35">
      <c r="A658" s="1" t="s">
        <v>947</v>
      </c>
      <c r="B658" s="2">
        <v>45208</v>
      </c>
      <c r="C658" s="1" t="s">
        <v>196</v>
      </c>
      <c r="D658" s="1" t="s">
        <v>1493</v>
      </c>
      <c r="E658" s="1" t="s">
        <v>44</v>
      </c>
      <c r="F658" s="1" t="s">
        <v>45</v>
      </c>
      <c r="G658" s="1">
        <v>10</v>
      </c>
      <c r="H658" s="1">
        <v>2135</v>
      </c>
      <c r="I658" s="1">
        <v>21350</v>
      </c>
      <c r="J658" s="1">
        <v>2775.5</v>
      </c>
      <c r="K658" s="1">
        <v>0.13</v>
      </c>
      <c r="L658" s="1">
        <v>18574.5</v>
      </c>
      <c r="M658" s="1" t="s">
        <v>18</v>
      </c>
    </row>
    <row r="659" spans="1:13" x14ac:dyDescent="0.35">
      <c r="A659" s="1" t="s">
        <v>948</v>
      </c>
      <c r="B659" s="2">
        <v>45142</v>
      </c>
      <c r="C659" s="1" t="s">
        <v>611</v>
      </c>
      <c r="D659" s="1" t="s">
        <v>1490</v>
      </c>
      <c r="E659" s="1" t="s">
        <v>21</v>
      </c>
      <c r="F659" s="1" t="s">
        <v>22</v>
      </c>
      <c r="G659" s="1">
        <v>6</v>
      </c>
      <c r="H659" s="1">
        <v>4202</v>
      </c>
      <c r="I659" s="1">
        <v>25212</v>
      </c>
      <c r="J659" s="1">
        <v>2773.32</v>
      </c>
      <c r="K659" s="1">
        <v>0.11</v>
      </c>
      <c r="L659" s="1">
        <v>22438.68</v>
      </c>
      <c r="M659" s="1" t="s">
        <v>18</v>
      </c>
    </row>
    <row r="660" spans="1:13" x14ac:dyDescent="0.35">
      <c r="A660" s="1" t="s">
        <v>949</v>
      </c>
      <c r="B660" s="2">
        <v>45155</v>
      </c>
      <c r="C660" s="1" t="s">
        <v>489</v>
      </c>
      <c r="D660" s="1" t="s">
        <v>1491</v>
      </c>
      <c r="E660" s="1" t="s">
        <v>39</v>
      </c>
      <c r="F660" s="1" t="s">
        <v>22</v>
      </c>
      <c r="G660" s="1">
        <v>1</v>
      </c>
      <c r="H660" s="1">
        <v>1508</v>
      </c>
      <c r="I660" s="1">
        <v>1508</v>
      </c>
      <c r="J660" s="1">
        <v>180.95999999999998</v>
      </c>
      <c r="K660" s="1">
        <v>0.12</v>
      </c>
      <c r="L660" s="1">
        <v>1327.04</v>
      </c>
      <c r="M660" s="1" t="s">
        <v>18</v>
      </c>
    </row>
    <row r="661" spans="1:13" x14ac:dyDescent="0.35">
      <c r="A661" s="1" t="s">
        <v>950</v>
      </c>
      <c r="B661" s="2">
        <v>45418</v>
      </c>
      <c r="C661" s="1" t="s">
        <v>28</v>
      </c>
      <c r="D661" s="1" t="s">
        <v>1490</v>
      </c>
      <c r="E661" s="1" t="s">
        <v>189</v>
      </c>
      <c r="F661" s="1" t="s">
        <v>45</v>
      </c>
      <c r="G661" s="1">
        <v>7</v>
      </c>
      <c r="H661" s="1">
        <v>2736</v>
      </c>
      <c r="I661" s="1">
        <v>19152</v>
      </c>
      <c r="J661" s="1">
        <v>5745.5999999999995</v>
      </c>
      <c r="K661" s="1">
        <v>0.3</v>
      </c>
      <c r="L661" s="1">
        <v>13406.4</v>
      </c>
      <c r="M661" s="1" t="s">
        <v>18</v>
      </c>
    </row>
    <row r="662" spans="1:13" x14ac:dyDescent="0.35">
      <c r="A662" s="1" t="s">
        <v>951</v>
      </c>
      <c r="B662" s="2">
        <v>45006</v>
      </c>
      <c r="C662" s="1" t="s">
        <v>382</v>
      </c>
      <c r="D662" s="1" t="s">
        <v>1490</v>
      </c>
      <c r="E662" s="1" t="s">
        <v>32</v>
      </c>
      <c r="F662" s="1" t="s">
        <v>17</v>
      </c>
      <c r="G662" s="1">
        <v>2</v>
      </c>
      <c r="H662" s="1">
        <v>4767</v>
      </c>
      <c r="I662" s="1">
        <v>9534</v>
      </c>
      <c r="J662" s="1">
        <v>2097.48</v>
      </c>
      <c r="K662" s="1">
        <v>0.22</v>
      </c>
      <c r="L662" s="1">
        <v>7436.52</v>
      </c>
      <c r="M662" s="1" t="s">
        <v>18</v>
      </c>
    </row>
    <row r="663" spans="1:13" x14ac:dyDescent="0.35">
      <c r="A663" s="1" t="s">
        <v>952</v>
      </c>
      <c r="B663" s="2">
        <v>45014</v>
      </c>
      <c r="C663" s="1" t="s">
        <v>367</v>
      </c>
      <c r="D663" s="1" t="s">
        <v>1492</v>
      </c>
      <c r="E663" s="1" t="s">
        <v>57</v>
      </c>
      <c r="F663" s="1" t="s">
        <v>45</v>
      </c>
      <c r="G663" s="1">
        <v>3</v>
      </c>
      <c r="H663" s="1">
        <v>2609</v>
      </c>
      <c r="I663" s="1">
        <v>7827</v>
      </c>
      <c r="J663" s="1">
        <v>1878.48</v>
      </c>
      <c r="K663" s="1">
        <v>0.24</v>
      </c>
      <c r="L663" s="1">
        <v>5948.52</v>
      </c>
      <c r="M663" s="1" t="s">
        <v>18</v>
      </c>
    </row>
    <row r="664" spans="1:13" x14ac:dyDescent="0.35">
      <c r="A664" s="1" t="s">
        <v>953</v>
      </c>
      <c r="B664" s="2">
        <v>45591</v>
      </c>
      <c r="C664" s="1" t="s">
        <v>498</v>
      </c>
      <c r="D664" s="1" t="s">
        <v>1493</v>
      </c>
      <c r="E664" s="1" t="s">
        <v>44</v>
      </c>
      <c r="F664" s="1" t="s">
        <v>45</v>
      </c>
      <c r="G664" s="1">
        <v>3</v>
      </c>
      <c r="H664" s="1">
        <v>3056</v>
      </c>
      <c r="I664" s="1">
        <v>9168</v>
      </c>
      <c r="J664" s="1">
        <v>2658.72</v>
      </c>
      <c r="K664" s="1">
        <v>0.28999999999999998</v>
      </c>
      <c r="L664" s="1">
        <v>6509.28</v>
      </c>
      <c r="M664" s="1" t="s">
        <v>18</v>
      </c>
    </row>
    <row r="665" spans="1:13" x14ac:dyDescent="0.35">
      <c r="A665" s="1" t="s">
        <v>954</v>
      </c>
      <c r="B665" s="2">
        <v>45555</v>
      </c>
      <c r="C665" s="1" t="s">
        <v>138</v>
      </c>
      <c r="D665" s="1" t="s">
        <v>1490</v>
      </c>
      <c r="E665" s="1" t="s">
        <v>21</v>
      </c>
      <c r="F665" s="1" t="s">
        <v>22</v>
      </c>
      <c r="G665" s="1">
        <v>1</v>
      </c>
      <c r="H665" s="1">
        <v>2117</v>
      </c>
      <c r="I665" s="1">
        <v>2117</v>
      </c>
      <c r="J665" s="1">
        <v>486.91</v>
      </c>
      <c r="K665" s="1">
        <v>0.23</v>
      </c>
      <c r="L665" s="1">
        <v>1630.09</v>
      </c>
      <c r="M665" s="1" t="s">
        <v>18</v>
      </c>
    </row>
    <row r="666" spans="1:13" x14ac:dyDescent="0.35">
      <c r="A666" s="1" t="s">
        <v>955</v>
      </c>
      <c r="B666" s="2">
        <v>45257</v>
      </c>
      <c r="C666" s="1" t="s">
        <v>101</v>
      </c>
      <c r="D666" s="1" t="s">
        <v>1493</v>
      </c>
      <c r="E666" s="1" t="s">
        <v>29</v>
      </c>
      <c r="F666" s="1" t="s">
        <v>22</v>
      </c>
      <c r="G666" s="1">
        <v>10</v>
      </c>
      <c r="H666" s="1">
        <v>1057</v>
      </c>
      <c r="I666" s="1">
        <v>10570</v>
      </c>
      <c r="J666" s="1">
        <v>2853.9</v>
      </c>
      <c r="K666" s="1">
        <v>0.27</v>
      </c>
      <c r="L666" s="1">
        <v>7716.1</v>
      </c>
      <c r="M666" s="1" t="s">
        <v>18</v>
      </c>
    </row>
    <row r="667" spans="1:13" x14ac:dyDescent="0.35">
      <c r="A667" s="1" t="s">
        <v>956</v>
      </c>
      <c r="B667" s="2">
        <v>45507</v>
      </c>
      <c r="C667" s="1" t="s">
        <v>112</v>
      </c>
      <c r="D667" s="1" t="s">
        <v>1493</v>
      </c>
      <c r="E667" s="1" t="s">
        <v>26</v>
      </c>
      <c r="F667" s="1" t="s">
        <v>17</v>
      </c>
      <c r="G667" s="1">
        <v>1</v>
      </c>
      <c r="H667" s="1">
        <v>3048</v>
      </c>
      <c r="I667" s="1">
        <v>3048</v>
      </c>
      <c r="J667" s="1">
        <v>182.88</v>
      </c>
      <c r="K667" s="1">
        <v>0.06</v>
      </c>
      <c r="L667" s="1">
        <v>2865.12</v>
      </c>
      <c r="M667" s="1" t="s">
        <v>18</v>
      </c>
    </row>
    <row r="668" spans="1:13" x14ac:dyDescent="0.35">
      <c r="A668" s="1" t="s">
        <v>957</v>
      </c>
      <c r="B668" s="2">
        <v>45489</v>
      </c>
      <c r="C668" s="1" t="s">
        <v>429</v>
      </c>
      <c r="D668" s="1" t="s">
        <v>1491</v>
      </c>
      <c r="E668" s="1" t="s">
        <v>29</v>
      </c>
      <c r="F668" s="1" t="s">
        <v>22</v>
      </c>
      <c r="G668" s="1">
        <v>10</v>
      </c>
      <c r="H668" s="1">
        <v>2422</v>
      </c>
      <c r="I668" s="1">
        <v>24220</v>
      </c>
      <c r="J668" s="1">
        <v>6055</v>
      </c>
      <c r="K668" s="1">
        <v>0.25</v>
      </c>
      <c r="L668" s="1">
        <v>18165</v>
      </c>
      <c r="M668" s="1" t="s">
        <v>18</v>
      </c>
    </row>
    <row r="669" spans="1:13" x14ac:dyDescent="0.35">
      <c r="A669" s="1" t="s">
        <v>958</v>
      </c>
      <c r="B669" s="2">
        <v>45421</v>
      </c>
      <c r="C669" s="1" t="s">
        <v>549</v>
      </c>
      <c r="D669" s="1" t="s">
        <v>1490</v>
      </c>
      <c r="E669" s="1" t="s">
        <v>48</v>
      </c>
      <c r="F669" s="1" t="s">
        <v>17</v>
      </c>
      <c r="G669" s="1">
        <v>5</v>
      </c>
      <c r="H669" s="1">
        <v>4890</v>
      </c>
      <c r="I669" s="1">
        <v>24450</v>
      </c>
      <c r="J669" s="1">
        <v>3667.5</v>
      </c>
      <c r="K669" s="1">
        <v>0.15</v>
      </c>
      <c r="L669" s="1">
        <v>20782.5</v>
      </c>
      <c r="M669" s="1" t="s">
        <v>18</v>
      </c>
    </row>
    <row r="670" spans="1:13" x14ac:dyDescent="0.35">
      <c r="A670" s="1" t="s">
        <v>959</v>
      </c>
      <c r="B670" s="2">
        <v>45419</v>
      </c>
      <c r="C670" s="1" t="s">
        <v>150</v>
      </c>
      <c r="D670" s="1" t="s">
        <v>1490</v>
      </c>
      <c r="E670" s="1" t="s">
        <v>181</v>
      </c>
      <c r="F670" s="1" t="s">
        <v>22</v>
      </c>
      <c r="G670" s="1">
        <v>9</v>
      </c>
      <c r="H670" s="1">
        <v>2753</v>
      </c>
      <c r="I670" s="1">
        <v>24777</v>
      </c>
      <c r="J670" s="1">
        <v>6689.7900000000009</v>
      </c>
      <c r="K670" s="1">
        <v>0.27</v>
      </c>
      <c r="L670" s="1">
        <v>18087.21</v>
      </c>
      <c r="M670" s="1" t="s">
        <v>18</v>
      </c>
    </row>
    <row r="671" spans="1:13" x14ac:dyDescent="0.35">
      <c r="A671" s="1" t="s">
        <v>960</v>
      </c>
      <c r="B671" s="2">
        <v>45213</v>
      </c>
      <c r="C671" s="1" t="s">
        <v>95</v>
      </c>
      <c r="D671" s="1" t="s">
        <v>1492</v>
      </c>
      <c r="E671" s="1" t="s">
        <v>57</v>
      </c>
      <c r="F671" s="1" t="s">
        <v>45</v>
      </c>
      <c r="G671" s="1">
        <v>7</v>
      </c>
      <c r="H671" s="1">
        <v>375</v>
      </c>
      <c r="I671" s="1">
        <v>2625</v>
      </c>
      <c r="J671" s="1">
        <v>0</v>
      </c>
      <c r="K671" s="1">
        <v>0</v>
      </c>
      <c r="L671" s="1">
        <v>2625</v>
      </c>
      <c r="M671" s="1" t="s">
        <v>18</v>
      </c>
    </row>
    <row r="672" spans="1:13" x14ac:dyDescent="0.35">
      <c r="A672" s="1" t="s">
        <v>961</v>
      </c>
      <c r="B672" s="2">
        <v>45232</v>
      </c>
      <c r="C672" s="1" t="s">
        <v>112</v>
      </c>
      <c r="D672" s="1" t="s">
        <v>1493</v>
      </c>
      <c r="E672" s="1" t="s">
        <v>32</v>
      </c>
      <c r="F672" s="1" t="s">
        <v>17</v>
      </c>
      <c r="G672" s="1">
        <v>7</v>
      </c>
      <c r="H672" s="1">
        <v>215</v>
      </c>
      <c r="I672" s="1">
        <v>1505</v>
      </c>
      <c r="J672" s="1">
        <v>316.05</v>
      </c>
      <c r="K672" s="1">
        <v>0.21</v>
      </c>
      <c r="L672" s="1">
        <v>1188.95</v>
      </c>
      <c r="M672" s="1" t="s">
        <v>18</v>
      </c>
    </row>
    <row r="673" spans="1:13" x14ac:dyDescent="0.35">
      <c r="A673" s="1" t="s">
        <v>962</v>
      </c>
      <c r="B673" s="2">
        <v>45334</v>
      </c>
      <c r="C673" s="1" t="s">
        <v>429</v>
      </c>
      <c r="D673" s="1" t="s">
        <v>1491</v>
      </c>
      <c r="E673" s="1" t="s">
        <v>32</v>
      </c>
      <c r="F673" s="1" t="s">
        <v>17</v>
      </c>
      <c r="G673" s="1">
        <v>2</v>
      </c>
      <c r="H673" s="1">
        <v>4158</v>
      </c>
      <c r="I673" s="1">
        <v>8316</v>
      </c>
      <c r="J673" s="1">
        <v>665.28</v>
      </c>
      <c r="K673" s="1">
        <v>0.08</v>
      </c>
      <c r="L673" s="1">
        <v>7650.72</v>
      </c>
      <c r="M673" s="1" t="s">
        <v>18</v>
      </c>
    </row>
    <row r="674" spans="1:13" x14ac:dyDescent="0.35">
      <c r="A674" s="1" t="s">
        <v>963</v>
      </c>
      <c r="B674" s="2">
        <v>45189</v>
      </c>
      <c r="C674" s="1" t="s">
        <v>103</v>
      </c>
      <c r="D674" s="1" t="s">
        <v>1490</v>
      </c>
      <c r="E674" s="1" t="s">
        <v>48</v>
      </c>
      <c r="F674" s="1" t="s">
        <v>17</v>
      </c>
      <c r="G674" s="1">
        <v>8</v>
      </c>
      <c r="H674" s="1">
        <v>4652</v>
      </c>
      <c r="I674" s="1">
        <v>37216</v>
      </c>
      <c r="J674" s="1">
        <v>7443.2000000000007</v>
      </c>
      <c r="K674" s="1">
        <v>0.2</v>
      </c>
      <c r="L674" s="1">
        <v>29772.799999999999</v>
      </c>
      <c r="M674" s="1" t="s">
        <v>18</v>
      </c>
    </row>
    <row r="675" spans="1:13" x14ac:dyDescent="0.35">
      <c r="A675" s="1" t="s">
        <v>964</v>
      </c>
      <c r="B675" s="2">
        <v>45216</v>
      </c>
      <c r="C675" s="1" t="s">
        <v>266</v>
      </c>
      <c r="D675" s="1" t="s">
        <v>1490</v>
      </c>
      <c r="E675" s="1" t="s">
        <v>57</v>
      </c>
      <c r="F675" s="1" t="s">
        <v>45</v>
      </c>
      <c r="G675" s="1">
        <v>4</v>
      </c>
      <c r="H675" s="1">
        <v>1389</v>
      </c>
      <c r="I675" s="1">
        <v>5556</v>
      </c>
      <c r="J675" s="1">
        <v>611.16</v>
      </c>
      <c r="K675" s="1">
        <v>0.11</v>
      </c>
      <c r="L675" s="1">
        <v>4944.84</v>
      </c>
      <c r="M675" s="1" t="s">
        <v>18</v>
      </c>
    </row>
    <row r="676" spans="1:13" x14ac:dyDescent="0.35">
      <c r="A676" s="1" t="s">
        <v>965</v>
      </c>
      <c r="B676" s="2">
        <v>45435</v>
      </c>
      <c r="C676" s="1" t="s">
        <v>161</v>
      </c>
      <c r="D676" s="1" t="s">
        <v>1490</v>
      </c>
      <c r="E676" s="1" t="s">
        <v>189</v>
      </c>
      <c r="F676" s="1" t="s">
        <v>45</v>
      </c>
      <c r="G676" s="1">
        <v>9</v>
      </c>
      <c r="H676" s="1">
        <v>1762</v>
      </c>
      <c r="I676" s="1">
        <v>15858</v>
      </c>
      <c r="J676" s="1">
        <v>1427.22</v>
      </c>
      <c r="K676" s="1">
        <v>0.09</v>
      </c>
      <c r="L676" s="1">
        <v>14430.78</v>
      </c>
      <c r="M676" s="1" t="s">
        <v>18</v>
      </c>
    </row>
    <row r="677" spans="1:13" x14ac:dyDescent="0.35">
      <c r="A677" s="1" t="s">
        <v>966</v>
      </c>
      <c r="B677" s="2">
        <v>45081</v>
      </c>
      <c r="C677" s="1" t="s">
        <v>273</v>
      </c>
      <c r="D677" s="1" t="s">
        <v>1493</v>
      </c>
      <c r="E677" s="1" t="s">
        <v>39</v>
      </c>
      <c r="F677" s="1" t="s">
        <v>22</v>
      </c>
      <c r="G677" s="1">
        <v>8</v>
      </c>
      <c r="H677" s="1">
        <v>778</v>
      </c>
      <c r="I677" s="1">
        <v>6224</v>
      </c>
      <c r="J677" s="1">
        <v>0</v>
      </c>
      <c r="K677" s="1">
        <v>0</v>
      </c>
      <c r="L677" s="1">
        <v>6224</v>
      </c>
      <c r="M677" s="1" t="s">
        <v>18</v>
      </c>
    </row>
    <row r="678" spans="1:13" x14ac:dyDescent="0.35">
      <c r="A678" s="1" t="s">
        <v>967</v>
      </c>
      <c r="B678" s="2">
        <v>45215</v>
      </c>
      <c r="C678" s="1" t="s">
        <v>968</v>
      </c>
      <c r="D678" s="1" t="s">
        <v>1493</v>
      </c>
      <c r="E678" s="1" t="s">
        <v>57</v>
      </c>
      <c r="F678" s="1" t="s">
        <v>45</v>
      </c>
      <c r="G678" s="1">
        <v>6</v>
      </c>
      <c r="H678" s="1">
        <v>3551</v>
      </c>
      <c r="I678" s="1">
        <v>21306</v>
      </c>
      <c r="J678" s="1">
        <v>1278.3599999999999</v>
      </c>
      <c r="K678" s="1">
        <v>0.06</v>
      </c>
      <c r="L678" s="1">
        <v>20027.64</v>
      </c>
      <c r="M678" s="1" t="s">
        <v>18</v>
      </c>
    </row>
    <row r="679" spans="1:13" x14ac:dyDescent="0.35">
      <c r="A679" s="1" t="s">
        <v>969</v>
      </c>
      <c r="B679" s="2">
        <v>45417</v>
      </c>
      <c r="C679" s="1" t="s">
        <v>471</v>
      </c>
      <c r="D679" s="1" t="s">
        <v>1492</v>
      </c>
      <c r="E679" s="1" t="s">
        <v>48</v>
      </c>
      <c r="F679" s="1" t="s">
        <v>17</v>
      </c>
      <c r="G679" s="1">
        <v>6</v>
      </c>
      <c r="H679" s="1">
        <v>4323</v>
      </c>
      <c r="I679" s="1">
        <v>25938</v>
      </c>
      <c r="J679" s="1">
        <v>1296.9000000000001</v>
      </c>
      <c r="K679" s="1">
        <v>0.05</v>
      </c>
      <c r="L679" s="1">
        <v>24641.1</v>
      </c>
      <c r="M679" s="1" t="s">
        <v>18</v>
      </c>
    </row>
    <row r="680" spans="1:13" x14ac:dyDescent="0.35">
      <c r="A680" s="1" t="s">
        <v>970</v>
      </c>
      <c r="B680" s="2">
        <v>45505</v>
      </c>
      <c r="C680" s="1" t="s">
        <v>830</v>
      </c>
      <c r="D680" s="1" t="s">
        <v>1493</v>
      </c>
      <c r="E680" s="1" t="s">
        <v>189</v>
      </c>
      <c r="F680" s="1" t="s">
        <v>45</v>
      </c>
      <c r="G680" s="1">
        <v>9</v>
      </c>
      <c r="H680" s="1">
        <v>1977</v>
      </c>
      <c r="I680" s="1">
        <v>17793</v>
      </c>
      <c r="J680" s="1">
        <v>177.93</v>
      </c>
      <c r="K680" s="1">
        <v>0.01</v>
      </c>
      <c r="L680" s="1">
        <v>17615.07</v>
      </c>
      <c r="M680" s="1" t="s">
        <v>18</v>
      </c>
    </row>
    <row r="681" spans="1:13" x14ac:dyDescent="0.35">
      <c r="A681" s="1" t="s">
        <v>971</v>
      </c>
      <c r="B681" s="2">
        <v>45021</v>
      </c>
      <c r="C681" s="1" t="s">
        <v>152</v>
      </c>
      <c r="D681" s="1" t="s">
        <v>1493</v>
      </c>
      <c r="E681" s="1" t="s">
        <v>29</v>
      </c>
      <c r="F681" s="1" t="s">
        <v>22</v>
      </c>
      <c r="G681" s="1">
        <v>3</v>
      </c>
      <c r="H681" s="1">
        <v>1412</v>
      </c>
      <c r="I681" s="1">
        <v>4236</v>
      </c>
      <c r="J681" s="1">
        <v>508.32</v>
      </c>
      <c r="K681" s="1">
        <v>0.12</v>
      </c>
      <c r="L681" s="1">
        <v>3727.68</v>
      </c>
      <c r="M681" s="1" t="s">
        <v>18</v>
      </c>
    </row>
    <row r="682" spans="1:13" x14ac:dyDescent="0.35">
      <c r="A682" s="1" t="s">
        <v>972</v>
      </c>
      <c r="B682" s="2">
        <v>45024</v>
      </c>
      <c r="C682" s="1" t="s">
        <v>227</v>
      </c>
      <c r="D682" s="1" t="s">
        <v>1491</v>
      </c>
      <c r="E682" s="1" t="s">
        <v>60</v>
      </c>
      <c r="F682" s="1" t="s">
        <v>45</v>
      </c>
      <c r="G682" s="1">
        <v>2</v>
      </c>
      <c r="H682" s="1">
        <v>3123</v>
      </c>
      <c r="I682" s="1">
        <v>6246</v>
      </c>
      <c r="J682" s="1">
        <v>1748.88</v>
      </c>
      <c r="K682" s="1">
        <v>0.28000000000000003</v>
      </c>
      <c r="L682" s="1">
        <v>4497.12</v>
      </c>
      <c r="M682" s="1" t="s">
        <v>18</v>
      </c>
    </row>
    <row r="683" spans="1:13" x14ac:dyDescent="0.35">
      <c r="A683" s="1" t="s">
        <v>973</v>
      </c>
      <c r="B683" s="2">
        <v>45315</v>
      </c>
      <c r="C683" s="1" t="s">
        <v>273</v>
      </c>
      <c r="D683" s="1" t="s">
        <v>1493</v>
      </c>
      <c r="E683" s="1" t="s">
        <v>21</v>
      </c>
      <c r="F683" s="1" t="s">
        <v>22</v>
      </c>
      <c r="G683" s="1">
        <v>4</v>
      </c>
      <c r="H683" s="1">
        <v>4903</v>
      </c>
      <c r="I683" s="1">
        <v>19612</v>
      </c>
      <c r="J683" s="1">
        <v>2157.3200000000002</v>
      </c>
      <c r="K683" s="1">
        <v>0.11</v>
      </c>
      <c r="L683" s="1">
        <v>17454.68</v>
      </c>
      <c r="M683" s="1" t="s">
        <v>18</v>
      </c>
    </row>
    <row r="684" spans="1:13" x14ac:dyDescent="0.35">
      <c r="A684" s="1" t="s">
        <v>974</v>
      </c>
      <c r="B684" s="2">
        <v>45423</v>
      </c>
      <c r="C684" s="1" t="s">
        <v>34</v>
      </c>
      <c r="D684" s="1" t="s">
        <v>1491</v>
      </c>
      <c r="E684" s="1" t="s">
        <v>48</v>
      </c>
      <c r="F684" s="1" t="s">
        <v>17</v>
      </c>
      <c r="G684" s="1">
        <v>2</v>
      </c>
      <c r="H684" s="1">
        <v>687</v>
      </c>
      <c r="I684" s="1">
        <v>1374</v>
      </c>
      <c r="J684" s="1">
        <v>316.02000000000004</v>
      </c>
      <c r="K684" s="1">
        <v>0.23</v>
      </c>
      <c r="L684" s="1">
        <v>1057.98</v>
      </c>
      <c r="M684" s="1" t="s">
        <v>18</v>
      </c>
    </row>
    <row r="685" spans="1:13" x14ac:dyDescent="0.35">
      <c r="A685" s="1" t="s">
        <v>975</v>
      </c>
      <c r="B685" s="2">
        <v>45102</v>
      </c>
      <c r="C685" s="1" t="s">
        <v>237</v>
      </c>
      <c r="D685" s="1" t="s">
        <v>1492</v>
      </c>
      <c r="E685" s="1" t="s">
        <v>48</v>
      </c>
      <c r="F685" s="1" t="s">
        <v>17</v>
      </c>
      <c r="G685" s="1">
        <v>7</v>
      </c>
      <c r="H685" s="1">
        <v>4450</v>
      </c>
      <c r="I685" s="1">
        <v>31150</v>
      </c>
      <c r="J685" s="1">
        <v>3738</v>
      </c>
      <c r="K685" s="1">
        <v>0.12</v>
      </c>
      <c r="L685" s="1">
        <v>27412</v>
      </c>
      <c r="M685" s="1" t="s">
        <v>18</v>
      </c>
    </row>
    <row r="686" spans="1:13" x14ac:dyDescent="0.35">
      <c r="A686" s="1" t="s">
        <v>976</v>
      </c>
      <c r="B686" s="2">
        <v>45223</v>
      </c>
      <c r="C686" s="1" t="s">
        <v>311</v>
      </c>
      <c r="D686" s="1" t="s">
        <v>1490</v>
      </c>
      <c r="E686" s="1" t="s">
        <v>21</v>
      </c>
      <c r="F686" s="1" t="s">
        <v>22</v>
      </c>
      <c r="G686" s="1">
        <v>7</v>
      </c>
      <c r="H686" s="1">
        <v>2722</v>
      </c>
      <c r="I686" s="1">
        <v>19054</v>
      </c>
      <c r="J686" s="1">
        <v>762.16</v>
      </c>
      <c r="K686" s="1">
        <v>0.04</v>
      </c>
      <c r="L686" s="1">
        <v>18291.84</v>
      </c>
      <c r="M686" s="1" t="s">
        <v>18</v>
      </c>
    </row>
    <row r="687" spans="1:13" x14ac:dyDescent="0.35">
      <c r="A687" s="1" t="s">
        <v>977</v>
      </c>
      <c r="B687" s="2">
        <v>45433</v>
      </c>
      <c r="C687" s="1" t="s">
        <v>41</v>
      </c>
      <c r="D687" s="1" t="s">
        <v>1490</v>
      </c>
      <c r="E687" s="1" t="s">
        <v>60</v>
      </c>
      <c r="F687" s="1" t="s">
        <v>45</v>
      </c>
      <c r="G687" s="1">
        <v>10</v>
      </c>
      <c r="H687" s="1">
        <v>2200</v>
      </c>
      <c r="I687" s="1">
        <v>22000</v>
      </c>
      <c r="J687" s="1">
        <v>3520</v>
      </c>
      <c r="K687" s="1">
        <v>0.16</v>
      </c>
      <c r="L687" s="1">
        <v>18480</v>
      </c>
      <c r="M687" s="1" t="s">
        <v>18</v>
      </c>
    </row>
    <row r="688" spans="1:13" x14ac:dyDescent="0.35">
      <c r="A688" s="1" t="s">
        <v>978</v>
      </c>
      <c r="B688" s="2">
        <v>45395</v>
      </c>
      <c r="C688" s="1" t="s">
        <v>348</v>
      </c>
      <c r="D688" s="1" t="s">
        <v>1492</v>
      </c>
      <c r="E688" s="1" t="s">
        <v>57</v>
      </c>
      <c r="F688" s="1" t="s">
        <v>45</v>
      </c>
      <c r="G688" s="1">
        <v>9</v>
      </c>
      <c r="H688" s="1">
        <v>4501</v>
      </c>
      <c r="I688" s="1">
        <v>40509</v>
      </c>
      <c r="J688" s="1">
        <v>9722.16</v>
      </c>
      <c r="K688" s="1">
        <v>0.24</v>
      </c>
      <c r="L688" s="1">
        <v>30786.84</v>
      </c>
      <c r="M688" s="1" t="s">
        <v>18</v>
      </c>
    </row>
    <row r="689" spans="1:13" x14ac:dyDescent="0.35">
      <c r="A689" s="1" t="s">
        <v>979</v>
      </c>
      <c r="B689" s="2">
        <v>45182</v>
      </c>
      <c r="C689" s="1" t="s">
        <v>229</v>
      </c>
      <c r="D689" s="1" t="s">
        <v>1492</v>
      </c>
      <c r="E689" s="1" t="s">
        <v>39</v>
      </c>
      <c r="F689" s="1" t="s">
        <v>22</v>
      </c>
      <c r="G689" s="1">
        <v>9</v>
      </c>
      <c r="H689" s="1">
        <v>375</v>
      </c>
      <c r="I689" s="1">
        <v>3375</v>
      </c>
      <c r="J689" s="1">
        <v>303.75</v>
      </c>
      <c r="K689" s="1">
        <v>0.09</v>
      </c>
      <c r="L689" s="1">
        <v>3071.25</v>
      </c>
      <c r="M689" s="1" t="s">
        <v>18</v>
      </c>
    </row>
    <row r="690" spans="1:13" x14ac:dyDescent="0.35">
      <c r="A690" s="1" t="s">
        <v>980</v>
      </c>
      <c r="B690" s="2">
        <v>44941</v>
      </c>
      <c r="C690" s="1" t="s">
        <v>198</v>
      </c>
      <c r="D690" s="1" t="s">
        <v>1493</v>
      </c>
      <c r="E690" s="1" t="s">
        <v>48</v>
      </c>
      <c r="F690" s="1" t="s">
        <v>17</v>
      </c>
      <c r="G690" s="1">
        <v>8</v>
      </c>
      <c r="H690" s="1">
        <v>1449</v>
      </c>
      <c r="I690" s="1">
        <v>11592</v>
      </c>
      <c r="J690" s="1">
        <v>2550.2400000000002</v>
      </c>
      <c r="K690" s="1">
        <v>0.22</v>
      </c>
      <c r="L690" s="1">
        <v>9041.76</v>
      </c>
      <c r="M690" s="1" t="s">
        <v>18</v>
      </c>
    </row>
    <row r="691" spans="1:13" x14ac:dyDescent="0.35">
      <c r="A691" s="1" t="s">
        <v>981</v>
      </c>
      <c r="B691" s="2">
        <v>45242</v>
      </c>
      <c r="C691" s="1" t="s">
        <v>630</v>
      </c>
      <c r="D691" s="1" t="s">
        <v>1490</v>
      </c>
      <c r="E691" s="1" t="s">
        <v>21</v>
      </c>
      <c r="F691" s="1" t="s">
        <v>22</v>
      </c>
      <c r="G691" s="1">
        <v>8</v>
      </c>
      <c r="H691" s="1">
        <v>364</v>
      </c>
      <c r="I691" s="1">
        <v>2912</v>
      </c>
      <c r="J691" s="1">
        <v>786.24</v>
      </c>
      <c r="K691" s="1">
        <v>0.27</v>
      </c>
      <c r="L691" s="1">
        <v>2125.7600000000002</v>
      </c>
      <c r="M691" s="1" t="s">
        <v>18</v>
      </c>
    </row>
    <row r="692" spans="1:13" x14ac:dyDescent="0.35">
      <c r="A692" s="1" t="s">
        <v>982</v>
      </c>
      <c r="B692" s="2">
        <v>45152</v>
      </c>
      <c r="C692" s="1" t="s">
        <v>191</v>
      </c>
      <c r="D692" s="1" t="s">
        <v>1492</v>
      </c>
      <c r="E692" s="1" t="s">
        <v>48</v>
      </c>
      <c r="F692" s="1" t="s">
        <v>17</v>
      </c>
      <c r="G692" s="1">
        <v>3</v>
      </c>
      <c r="H692" s="1">
        <v>1497</v>
      </c>
      <c r="I692" s="1">
        <v>4491</v>
      </c>
      <c r="J692" s="1">
        <v>89.820000000000007</v>
      </c>
      <c r="K692" s="1">
        <v>0.02</v>
      </c>
      <c r="L692" s="1">
        <v>4401.18</v>
      </c>
      <c r="M692" s="1" t="s">
        <v>18</v>
      </c>
    </row>
    <row r="693" spans="1:13" x14ac:dyDescent="0.35">
      <c r="A693" s="1" t="s">
        <v>983</v>
      </c>
      <c r="B693" s="2">
        <v>45556</v>
      </c>
      <c r="C693" s="1" t="s">
        <v>214</v>
      </c>
      <c r="D693" s="1" t="s">
        <v>1491</v>
      </c>
      <c r="E693" s="1" t="s">
        <v>16</v>
      </c>
      <c r="F693" s="1" t="s">
        <v>17</v>
      </c>
      <c r="G693" s="1">
        <v>8</v>
      </c>
      <c r="H693" s="1">
        <v>3244</v>
      </c>
      <c r="I693" s="1">
        <v>25952</v>
      </c>
      <c r="J693" s="1">
        <v>2076.16</v>
      </c>
      <c r="K693" s="1">
        <v>0.08</v>
      </c>
      <c r="L693" s="1">
        <v>23875.84</v>
      </c>
      <c r="M693" s="1" t="s">
        <v>18</v>
      </c>
    </row>
    <row r="694" spans="1:13" x14ac:dyDescent="0.35">
      <c r="A694" s="1" t="s">
        <v>984</v>
      </c>
      <c r="B694" s="2">
        <v>44978</v>
      </c>
      <c r="C694" s="1" t="s">
        <v>210</v>
      </c>
      <c r="D694" s="1" t="s">
        <v>1490</v>
      </c>
      <c r="E694" s="1" t="s">
        <v>60</v>
      </c>
      <c r="F694" s="1" t="s">
        <v>45</v>
      </c>
      <c r="G694" s="1">
        <v>4</v>
      </c>
      <c r="H694" s="1">
        <v>4122</v>
      </c>
      <c r="I694" s="1">
        <v>16488</v>
      </c>
      <c r="J694" s="1">
        <v>0</v>
      </c>
      <c r="K694" s="1">
        <v>0</v>
      </c>
      <c r="L694" s="1">
        <v>16488</v>
      </c>
      <c r="M694" s="1" t="s">
        <v>18</v>
      </c>
    </row>
    <row r="695" spans="1:13" x14ac:dyDescent="0.35">
      <c r="A695" s="1" t="s">
        <v>985</v>
      </c>
      <c r="B695" s="2">
        <v>45139</v>
      </c>
      <c r="C695" s="1" t="s">
        <v>216</v>
      </c>
      <c r="D695" s="1" t="s">
        <v>1493</v>
      </c>
      <c r="E695" s="1" t="s">
        <v>39</v>
      </c>
      <c r="F695" s="1" t="s">
        <v>22</v>
      </c>
      <c r="G695" s="1">
        <v>6</v>
      </c>
      <c r="H695" s="1">
        <v>3513</v>
      </c>
      <c r="I695" s="1">
        <v>21078</v>
      </c>
      <c r="J695" s="1">
        <v>1264.68</v>
      </c>
      <c r="K695" s="1">
        <v>0.06</v>
      </c>
      <c r="L695" s="1">
        <v>19813.32</v>
      </c>
      <c r="M695" s="1" t="s">
        <v>18</v>
      </c>
    </row>
    <row r="696" spans="1:13" x14ac:dyDescent="0.35">
      <c r="A696" s="1" t="s">
        <v>986</v>
      </c>
      <c r="B696" s="2">
        <v>45276</v>
      </c>
      <c r="C696" s="1" t="s">
        <v>148</v>
      </c>
      <c r="D696" s="1" t="s">
        <v>1493</v>
      </c>
      <c r="E696" s="1" t="s">
        <v>48</v>
      </c>
      <c r="F696" s="1" t="s">
        <v>17</v>
      </c>
      <c r="G696" s="1">
        <v>7</v>
      </c>
      <c r="H696" s="1">
        <v>2772</v>
      </c>
      <c r="I696" s="1">
        <v>19404</v>
      </c>
      <c r="J696" s="1">
        <v>970.2</v>
      </c>
      <c r="K696" s="1">
        <v>0.05</v>
      </c>
      <c r="L696" s="1">
        <v>18433.8</v>
      </c>
      <c r="M696" s="1" t="s">
        <v>18</v>
      </c>
    </row>
    <row r="697" spans="1:13" x14ac:dyDescent="0.35">
      <c r="A697" s="1" t="s">
        <v>987</v>
      </c>
      <c r="B697" s="2">
        <v>45101</v>
      </c>
      <c r="C697" s="1" t="s">
        <v>212</v>
      </c>
      <c r="D697" s="1" t="s">
        <v>1491</v>
      </c>
      <c r="E697" s="1" t="s">
        <v>16</v>
      </c>
      <c r="F697" s="1" t="s">
        <v>17</v>
      </c>
      <c r="G697" s="1">
        <v>8</v>
      </c>
      <c r="H697" s="1">
        <v>2355</v>
      </c>
      <c r="I697" s="1">
        <v>18840</v>
      </c>
      <c r="J697" s="1">
        <v>1695.6</v>
      </c>
      <c r="K697" s="1">
        <v>0.09</v>
      </c>
      <c r="L697" s="1">
        <v>17144.400000000001</v>
      </c>
      <c r="M697" s="1" t="s">
        <v>18</v>
      </c>
    </row>
    <row r="698" spans="1:13" x14ac:dyDescent="0.35">
      <c r="A698" s="1" t="s">
        <v>988</v>
      </c>
      <c r="B698" s="2">
        <v>45587</v>
      </c>
      <c r="C698" s="1" t="s">
        <v>360</v>
      </c>
      <c r="D698" s="1" t="s">
        <v>1493</v>
      </c>
      <c r="E698" s="1" t="s">
        <v>16</v>
      </c>
      <c r="F698" s="1" t="s">
        <v>17</v>
      </c>
      <c r="G698" s="1">
        <v>3</v>
      </c>
      <c r="H698" s="1">
        <v>1460</v>
      </c>
      <c r="I698" s="1">
        <v>4380</v>
      </c>
      <c r="J698" s="1">
        <v>394.2</v>
      </c>
      <c r="K698" s="1">
        <v>0.09</v>
      </c>
      <c r="L698" s="1">
        <v>3985.8</v>
      </c>
      <c r="M698" s="1" t="s">
        <v>18</v>
      </c>
    </row>
    <row r="699" spans="1:13" x14ac:dyDescent="0.35">
      <c r="A699" s="1" t="s">
        <v>989</v>
      </c>
      <c r="B699" s="2">
        <v>45069</v>
      </c>
      <c r="C699" s="1" t="s">
        <v>93</v>
      </c>
      <c r="D699" s="1" t="s">
        <v>1492</v>
      </c>
      <c r="E699" s="1" t="s">
        <v>39</v>
      </c>
      <c r="F699" s="1" t="s">
        <v>22</v>
      </c>
      <c r="G699" s="1">
        <v>1</v>
      </c>
      <c r="H699" s="1">
        <v>677</v>
      </c>
      <c r="I699" s="1">
        <v>677</v>
      </c>
      <c r="J699" s="1">
        <v>6.7700000000000005</v>
      </c>
      <c r="K699" s="1">
        <v>0.01</v>
      </c>
      <c r="L699" s="1">
        <v>670.23</v>
      </c>
      <c r="M699" s="1" t="s">
        <v>18</v>
      </c>
    </row>
    <row r="700" spans="1:13" x14ac:dyDescent="0.35">
      <c r="A700" s="1" t="s">
        <v>990</v>
      </c>
      <c r="B700" s="2">
        <v>45038</v>
      </c>
      <c r="C700" s="1" t="s">
        <v>284</v>
      </c>
      <c r="D700" s="1" t="s">
        <v>1493</v>
      </c>
      <c r="E700" s="1" t="s">
        <v>29</v>
      </c>
      <c r="F700" s="1" t="s">
        <v>22</v>
      </c>
      <c r="G700" s="1">
        <v>4</v>
      </c>
      <c r="H700" s="1">
        <v>2696</v>
      </c>
      <c r="I700" s="1">
        <v>10784</v>
      </c>
      <c r="J700" s="1">
        <v>539.20000000000005</v>
      </c>
      <c r="K700" s="1">
        <v>0.05</v>
      </c>
      <c r="L700" s="1">
        <v>10244.799999999999</v>
      </c>
      <c r="M700" s="1" t="s">
        <v>18</v>
      </c>
    </row>
    <row r="701" spans="1:13" x14ac:dyDescent="0.35">
      <c r="A701" s="1" t="s">
        <v>991</v>
      </c>
      <c r="B701" s="2">
        <v>44945</v>
      </c>
      <c r="C701" s="1" t="s">
        <v>175</v>
      </c>
      <c r="D701" s="1" t="s">
        <v>1491</v>
      </c>
      <c r="E701" s="1" t="s">
        <v>32</v>
      </c>
      <c r="F701" s="1" t="s">
        <v>17</v>
      </c>
      <c r="G701" s="1">
        <v>10</v>
      </c>
      <c r="H701" s="1">
        <v>1665</v>
      </c>
      <c r="I701" s="1">
        <v>16650</v>
      </c>
      <c r="J701" s="1">
        <v>4162.5</v>
      </c>
      <c r="K701" s="1">
        <v>0.25</v>
      </c>
      <c r="L701" s="1">
        <v>12487.5</v>
      </c>
      <c r="M701" s="1" t="s">
        <v>18</v>
      </c>
    </row>
    <row r="702" spans="1:13" x14ac:dyDescent="0.35">
      <c r="A702" s="1" t="s">
        <v>992</v>
      </c>
      <c r="B702" s="2">
        <v>45268</v>
      </c>
      <c r="C702" s="1" t="s">
        <v>150</v>
      </c>
      <c r="D702" s="1" t="s">
        <v>1490</v>
      </c>
      <c r="E702" s="1" t="s">
        <v>60</v>
      </c>
      <c r="F702" s="1" t="s">
        <v>45</v>
      </c>
      <c r="G702" s="1">
        <v>2</v>
      </c>
      <c r="H702" s="1">
        <v>899</v>
      </c>
      <c r="I702" s="1">
        <v>1798</v>
      </c>
      <c r="J702" s="1">
        <v>467.48</v>
      </c>
      <c r="K702" s="1">
        <v>0.26</v>
      </c>
      <c r="L702" s="1">
        <v>1330.52</v>
      </c>
      <c r="M702" s="1" t="s">
        <v>18</v>
      </c>
    </row>
    <row r="703" spans="1:13" x14ac:dyDescent="0.35">
      <c r="A703" s="1" t="s">
        <v>993</v>
      </c>
      <c r="B703" s="2">
        <v>45078</v>
      </c>
      <c r="C703" s="1" t="s">
        <v>552</v>
      </c>
      <c r="D703" s="1" t="s">
        <v>1492</v>
      </c>
      <c r="E703" s="1" t="s">
        <v>39</v>
      </c>
      <c r="F703" s="1" t="s">
        <v>22</v>
      </c>
      <c r="G703" s="1">
        <v>7</v>
      </c>
      <c r="H703" s="1">
        <v>4604</v>
      </c>
      <c r="I703" s="1">
        <v>32228</v>
      </c>
      <c r="J703" s="1">
        <v>4189.6400000000003</v>
      </c>
      <c r="K703" s="1">
        <v>0.13</v>
      </c>
      <c r="L703" s="1">
        <v>28038.36</v>
      </c>
      <c r="M703" s="1" t="s">
        <v>18</v>
      </c>
    </row>
    <row r="704" spans="1:13" x14ac:dyDescent="0.35">
      <c r="A704" s="1" t="s">
        <v>994</v>
      </c>
      <c r="B704" s="2">
        <v>45115</v>
      </c>
      <c r="C704" s="1" t="s">
        <v>394</v>
      </c>
      <c r="D704" s="1" t="s">
        <v>1491</v>
      </c>
      <c r="E704" s="1" t="s">
        <v>189</v>
      </c>
      <c r="F704" s="1" t="s">
        <v>45</v>
      </c>
      <c r="G704" s="1">
        <v>1</v>
      </c>
      <c r="H704" s="1">
        <v>1593</v>
      </c>
      <c r="I704" s="1">
        <v>1593</v>
      </c>
      <c r="J704" s="1">
        <v>286.74</v>
      </c>
      <c r="K704" s="1">
        <v>0.18</v>
      </c>
      <c r="L704" s="1">
        <v>1306.26</v>
      </c>
      <c r="M704" s="1" t="s">
        <v>18</v>
      </c>
    </row>
    <row r="705" spans="1:13" x14ac:dyDescent="0.35">
      <c r="A705" s="1" t="s">
        <v>995</v>
      </c>
      <c r="B705" s="2">
        <v>45639</v>
      </c>
      <c r="C705" s="1" t="s">
        <v>168</v>
      </c>
      <c r="D705" s="1" t="s">
        <v>1492</v>
      </c>
      <c r="E705" s="1" t="s">
        <v>32</v>
      </c>
      <c r="F705" s="1" t="s">
        <v>17</v>
      </c>
      <c r="G705" s="1">
        <v>5</v>
      </c>
      <c r="H705" s="1">
        <v>1396</v>
      </c>
      <c r="I705" s="1">
        <v>6980</v>
      </c>
      <c r="J705" s="1">
        <v>1116.8</v>
      </c>
      <c r="K705" s="1">
        <v>0.16</v>
      </c>
      <c r="L705" s="1">
        <v>5863.2</v>
      </c>
      <c r="M705" s="1" t="s">
        <v>18</v>
      </c>
    </row>
    <row r="706" spans="1:13" x14ac:dyDescent="0.35">
      <c r="A706" s="1" t="s">
        <v>996</v>
      </c>
      <c r="B706" s="2">
        <v>45634</v>
      </c>
      <c r="C706" s="1" t="s">
        <v>85</v>
      </c>
      <c r="D706" s="1" t="s">
        <v>1492</v>
      </c>
      <c r="E706" s="1" t="s">
        <v>57</v>
      </c>
      <c r="F706" s="1" t="s">
        <v>45</v>
      </c>
      <c r="G706" s="1">
        <v>4</v>
      </c>
      <c r="H706" s="1">
        <v>161</v>
      </c>
      <c r="I706" s="1">
        <v>644</v>
      </c>
      <c r="J706" s="1">
        <v>115.92</v>
      </c>
      <c r="K706" s="1">
        <v>0.18</v>
      </c>
      <c r="L706" s="1">
        <v>528.08000000000004</v>
      </c>
      <c r="M706" s="1" t="s">
        <v>18</v>
      </c>
    </row>
    <row r="707" spans="1:13" x14ac:dyDescent="0.35">
      <c r="A707" s="1" t="s">
        <v>997</v>
      </c>
      <c r="B707" s="2">
        <v>45463</v>
      </c>
      <c r="C707" s="1" t="s">
        <v>352</v>
      </c>
      <c r="D707" s="1" t="s">
        <v>1490</v>
      </c>
      <c r="E707" s="1" t="s">
        <v>32</v>
      </c>
      <c r="F707" s="1" t="s">
        <v>17</v>
      </c>
      <c r="G707" s="1">
        <v>2</v>
      </c>
      <c r="H707" s="1">
        <v>2558</v>
      </c>
      <c r="I707" s="1">
        <v>5116</v>
      </c>
      <c r="J707" s="1">
        <v>1279</v>
      </c>
      <c r="K707" s="1">
        <v>0.25</v>
      </c>
      <c r="L707" s="1">
        <v>3837</v>
      </c>
      <c r="M707" s="1" t="s">
        <v>18</v>
      </c>
    </row>
    <row r="708" spans="1:13" x14ac:dyDescent="0.35">
      <c r="A708" s="1" t="s">
        <v>998</v>
      </c>
      <c r="B708" s="2">
        <v>44994</v>
      </c>
      <c r="C708" s="1" t="s">
        <v>323</v>
      </c>
      <c r="D708" s="1" t="s">
        <v>1493</v>
      </c>
      <c r="E708" s="1" t="s">
        <v>26</v>
      </c>
      <c r="F708" s="1" t="s">
        <v>17</v>
      </c>
      <c r="G708" s="1">
        <v>3</v>
      </c>
      <c r="H708" s="1">
        <v>1268</v>
      </c>
      <c r="I708" s="1">
        <v>3804</v>
      </c>
      <c r="J708" s="1">
        <v>76.08</v>
      </c>
      <c r="K708" s="1">
        <v>0.02</v>
      </c>
      <c r="L708" s="1">
        <v>3727.92</v>
      </c>
      <c r="M708" s="1" t="s">
        <v>18</v>
      </c>
    </row>
    <row r="709" spans="1:13" x14ac:dyDescent="0.35">
      <c r="A709" s="1" t="s">
        <v>999</v>
      </c>
      <c r="B709" s="2">
        <v>45595</v>
      </c>
      <c r="C709" s="1" t="s">
        <v>658</v>
      </c>
      <c r="D709" s="1" t="s">
        <v>1492</v>
      </c>
      <c r="E709" s="1" t="s">
        <v>44</v>
      </c>
      <c r="F709" s="1" t="s">
        <v>45</v>
      </c>
      <c r="G709" s="1">
        <v>1</v>
      </c>
      <c r="H709" s="1">
        <v>3842</v>
      </c>
      <c r="I709" s="1">
        <v>3842</v>
      </c>
      <c r="J709" s="1">
        <v>192.10000000000002</v>
      </c>
      <c r="K709" s="1">
        <v>0.05</v>
      </c>
      <c r="L709" s="1">
        <v>3649.9</v>
      </c>
      <c r="M709" s="1" t="s">
        <v>18</v>
      </c>
    </row>
    <row r="710" spans="1:13" x14ac:dyDescent="0.35">
      <c r="A710" s="1" t="s">
        <v>1000</v>
      </c>
      <c r="B710" s="2">
        <v>45640</v>
      </c>
      <c r="C710" s="1" t="s">
        <v>82</v>
      </c>
      <c r="D710" s="1" t="s">
        <v>1490</v>
      </c>
      <c r="E710" s="1" t="s">
        <v>21</v>
      </c>
      <c r="F710" s="1" t="s">
        <v>22</v>
      </c>
      <c r="G710" s="1">
        <v>4</v>
      </c>
      <c r="H710" s="1">
        <v>245</v>
      </c>
      <c r="I710" s="1">
        <v>980</v>
      </c>
      <c r="J710" s="1">
        <v>107.8</v>
      </c>
      <c r="K710" s="1">
        <v>0.11</v>
      </c>
      <c r="L710" s="1">
        <v>872.2</v>
      </c>
      <c r="M710" s="1" t="s">
        <v>18</v>
      </c>
    </row>
    <row r="711" spans="1:13" x14ac:dyDescent="0.35">
      <c r="A711" s="1" t="s">
        <v>1001</v>
      </c>
      <c r="B711" s="2">
        <v>45011</v>
      </c>
      <c r="C711" s="1" t="s">
        <v>830</v>
      </c>
      <c r="D711" s="1" t="s">
        <v>1493</v>
      </c>
      <c r="E711" s="1" t="s">
        <v>181</v>
      </c>
      <c r="F711" s="1" t="s">
        <v>22</v>
      </c>
      <c r="G711" s="1">
        <v>2</v>
      </c>
      <c r="H711" s="1">
        <v>565</v>
      </c>
      <c r="I711" s="1">
        <v>1130</v>
      </c>
      <c r="J711" s="1">
        <v>0</v>
      </c>
      <c r="K711" s="1">
        <v>0</v>
      </c>
      <c r="L711" s="1">
        <v>1130</v>
      </c>
      <c r="M711" s="1" t="s">
        <v>18</v>
      </c>
    </row>
    <row r="712" spans="1:13" x14ac:dyDescent="0.35">
      <c r="A712" s="1" t="s">
        <v>1002</v>
      </c>
      <c r="B712" s="2">
        <v>45604</v>
      </c>
      <c r="C712" s="1" t="s">
        <v>334</v>
      </c>
      <c r="D712" s="1" t="s">
        <v>1490</v>
      </c>
      <c r="E712" s="1" t="s">
        <v>48</v>
      </c>
      <c r="F712" s="1" t="s">
        <v>17</v>
      </c>
      <c r="G712" s="1">
        <v>6</v>
      </c>
      <c r="H712" s="1">
        <v>602</v>
      </c>
      <c r="I712" s="1">
        <v>3612</v>
      </c>
      <c r="J712" s="1">
        <v>939.12</v>
      </c>
      <c r="K712" s="1">
        <v>0.26</v>
      </c>
      <c r="L712" s="1">
        <v>2672.88</v>
      </c>
      <c r="M712" s="1" t="s">
        <v>18</v>
      </c>
    </row>
    <row r="713" spans="1:13" x14ac:dyDescent="0.35">
      <c r="A713" s="1" t="s">
        <v>1003</v>
      </c>
      <c r="B713" s="2">
        <v>44993</v>
      </c>
      <c r="C713" s="1" t="s">
        <v>231</v>
      </c>
      <c r="D713" s="1" t="s">
        <v>1491</v>
      </c>
      <c r="E713" s="1" t="s">
        <v>181</v>
      </c>
      <c r="F713" s="1" t="s">
        <v>22</v>
      </c>
      <c r="G713" s="1">
        <v>9</v>
      </c>
      <c r="H713" s="1">
        <v>2589</v>
      </c>
      <c r="I713" s="1">
        <v>23301</v>
      </c>
      <c r="J713" s="1">
        <v>3728.16</v>
      </c>
      <c r="K713" s="1">
        <v>0.16</v>
      </c>
      <c r="L713" s="1">
        <v>19572.84</v>
      </c>
      <c r="M713" s="1" t="s">
        <v>18</v>
      </c>
    </row>
    <row r="714" spans="1:13" x14ac:dyDescent="0.35">
      <c r="A714" s="1" t="s">
        <v>1004</v>
      </c>
      <c r="B714" s="2">
        <v>45152</v>
      </c>
      <c r="C714" s="1" t="s">
        <v>611</v>
      </c>
      <c r="D714" s="1" t="s">
        <v>1490</v>
      </c>
      <c r="E714" s="1" t="s">
        <v>60</v>
      </c>
      <c r="F714" s="1" t="s">
        <v>45</v>
      </c>
      <c r="G714" s="1">
        <v>4</v>
      </c>
      <c r="H714" s="1">
        <v>1725</v>
      </c>
      <c r="I714" s="1">
        <v>6900</v>
      </c>
      <c r="J714" s="1">
        <v>1449</v>
      </c>
      <c r="K714" s="1">
        <v>0.21</v>
      </c>
      <c r="L714" s="1">
        <v>5451</v>
      </c>
      <c r="M714" s="1" t="s">
        <v>18</v>
      </c>
    </row>
    <row r="715" spans="1:13" x14ac:dyDescent="0.35">
      <c r="A715" s="1" t="s">
        <v>1005</v>
      </c>
      <c r="B715" s="2">
        <v>45010</v>
      </c>
      <c r="C715" s="1" t="s">
        <v>206</v>
      </c>
      <c r="D715" s="1" t="s">
        <v>1493</v>
      </c>
      <c r="E715" s="1" t="s">
        <v>32</v>
      </c>
      <c r="F715" s="1" t="s">
        <v>17</v>
      </c>
      <c r="G715" s="1">
        <v>2</v>
      </c>
      <c r="H715" s="1">
        <v>111</v>
      </c>
      <c r="I715" s="1">
        <v>222</v>
      </c>
      <c r="J715" s="1">
        <v>64.38</v>
      </c>
      <c r="K715" s="1">
        <v>0.28999999999999998</v>
      </c>
      <c r="L715" s="1">
        <v>157.62</v>
      </c>
      <c r="M715" s="1" t="s">
        <v>18</v>
      </c>
    </row>
    <row r="716" spans="1:13" x14ac:dyDescent="0.35">
      <c r="A716" s="1" t="s">
        <v>1006</v>
      </c>
      <c r="B716" s="2">
        <v>45308</v>
      </c>
      <c r="C716" s="1" t="s">
        <v>365</v>
      </c>
      <c r="D716" s="1" t="s">
        <v>1493</v>
      </c>
      <c r="E716" s="1" t="s">
        <v>32</v>
      </c>
      <c r="F716" s="1" t="s">
        <v>17</v>
      </c>
      <c r="G716" s="1">
        <v>3</v>
      </c>
      <c r="H716" s="1">
        <v>4813</v>
      </c>
      <c r="I716" s="1">
        <v>14439</v>
      </c>
      <c r="J716" s="1">
        <v>2743.41</v>
      </c>
      <c r="K716" s="1">
        <v>0.19</v>
      </c>
      <c r="L716" s="1">
        <v>11695.59</v>
      </c>
      <c r="M716" s="1" t="s">
        <v>18</v>
      </c>
    </row>
    <row r="717" spans="1:13" x14ac:dyDescent="0.35">
      <c r="A717" s="1" t="s">
        <v>1007</v>
      </c>
      <c r="B717" s="2">
        <v>44990</v>
      </c>
      <c r="C717" s="1" t="s">
        <v>212</v>
      </c>
      <c r="D717" s="1" t="s">
        <v>1491</v>
      </c>
      <c r="E717" s="1" t="s">
        <v>39</v>
      </c>
      <c r="F717" s="1" t="s">
        <v>22</v>
      </c>
      <c r="G717" s="1">
        <v>3</v>
      </c>
      <c r="H717" s="1">
        <v>251</v>
      </c>
      <c r="I717" s="1">
        <v>753</v>
      </c>
      <c r="J717" s="1">
        <v>90.36</v>
      </c>
      <c r="K717" s="1">
        <v>0.12</v>
      </c>
      <c r="L717" s="1">
        <v>662.64</v>
      </c>
      <c r="M717" s="1" t="s">
        <v>18</v>
      </c>
    </row>
    <row r="718" spans="1:13" x14ac:dyDescent="0.35">
      <c r="A718" s="1" t="s">
        <v>1008</v>
      </c>
      <c r="B718" s="2">
        <v>45375</v>
      </c>
      <c r="C718" s="1" t="s">
        <v>154</v>
      </c>
      <c r="D718" s="1" t="s">
        <v>1493</v>
      </c>
      <c r="E718" s="1" t="s">
        <v>26</v>
      </c>
      <c r="F718" s="1" t="s">
        <v>17</v>
      </c>
      <c r="G718" s="1">
        <v>9</v>
      </c>
      <c r="H718" s="1">
        <v>2978</v>
      </c>
      <c r="I718" s="1">
        <v>26802</v>
      </c>
      <c r="J718" s="1">
        <v>4020.2999999999997</v>
      </c>
      <c r="K718" s="1">
        <v>0.15</v>
      </c>
      <c r="L718" s="1">
        <v>22781.7</v>
      </c>
      <c r="M718" s="1" t="s">
        <v>18</v>
      </c>
    </row>
    <row r="719" spans="1:13" x14ac:dyDescent="0.35">
      <c r="A719" s="1" t="s">
        <v>1009</v>
      </c>
      <c r="B719" s="2">
        <v>45361</v>
      </c>
      <c r="C719" s="1" t="s">
        <v>382</v>
      </c>
      <c r="D719" s="1" t="s">
        <v>1490</v>
      </c>
      <c r="E719" s="1" t="s">
        <v>21</v>
      </c>
      <c r="F719" s="1" t="s">
        <v>22</v>
      </c>
      <c r="G719" s="1">
        <v>9</v>
      </c>
      <c r="H719" s="1">
        <v>2501</v>
      </c>
      <c r="I719" s="1">
        <v>22509</v>
      </c>
      <c r="J719" s="1">
        <v>6077.43</v>
      </c>
      <c r="K719" s="1">
        <v>0.27</v>
      </c>
      <c r="L719" s="1">
        <v>16431.57</v>
      </c>
      <c r="M719" s="1" t="s">
        <v>18</v>
      </c>
    </row>
    <row r="720" spans="1:13" x14ac:dyDescent="0.35">
      <c r="A720" s="1" t="s">
        <v>1010</v>
      </c>
      <c r="B720" s="2">
        <v>45118</v>
      </c>
      <c r="C720" s="1" t="s">
        <v>262</v>
      </c>
      <c r="D720" s="1" t="s">
        <v>1490</v>
      </c>
      <c r="E720" s="1" t="s">
        <v>48</v>
      </c>
      <c r="F720" s="1" t="s">
        <v>17</v>
      </c>
      <c r="G720" s="1">
        <v>4</v>
      </c>
      <c r="H720" s="1">
        <v>2444</v>
      </c>
      <c r="I720" s="1">
        <v>9776</v>
      </c>
      <c r="J720" s="1">
        <v>1857.44</v>
      </c>
      <c r="K720" s="1">
        <v>0.19</v>
      </c>
      <c r="L720" s="1">
        <v>7918.56</v>
      </c>
      <c r="M720" s="1" t="s">
        <v>18</v>
      </c>
    </row>
    <row r="721" spans="1:13" x14ac:dyDescent="0.35">
      <c r="A721" s="1" t="s">
        <v>1011</v>
      </c>
      <c r="B721" s="2">
        <v>45641</v>
      </c>
      <c r="C721" s="1" t="s">
        <v>339</v>
      </c>
      <c r="D721" s="1" t="s">
        <v>1490</v>
      </c>
      <c r="E721" s="1" t="s">
        <v>16</v>
      </c>
      <c r="F721" s="1" t="s">
        <v>17</v>
      </c>
      <c r="G721" s="1">
        <v>10</v>
      </c>
      <c r="H721" s="1">
        <v>110</v>
      </c>
      <c r="I721" s="1">
        <v>1100</v>
      </c>
      <c r="J721" s="1">
        <v>209</v>
      </c>
      <c r="K721" s="1">
        <v>0.19</v>
      </c>
      <c r="L721" s="1">
        <v>891</v>
      </c>
      <c r="M721" s="1" t="s">
        <v>18</v>
      </c>
    </row>
    <row r="722" spans="1:13" x14ac:dyDescent="0.35">
      <c r="A722" s="1" t="s">
        <v>1012</v>
      </c>
      <c r="B722" s="2">
        <v>45116</v>
      </c>
      <c r="C722" s="1" t="s">
        <v>638</v>
      </c>
      <c r="D722" s="1" t="s">
        <v>1492</v>
      </c>
      <c r="E722" s="1" t="s">
        <v>32</v>
      </c>
      <c r="F722" s="1" t="s">
        <v>17</v>
      </c>
      <c r="G722" s="1">
        <v>1</v>
      </c>
      <c r="H722" s="1">
        <v>1850</v>
      </c>
      <c r="I722" s="1">
        <v>1850</v>
      </c>
      <c r="J722" s="1">
        <v>499.50000000000006</v>
      </c>
      <c r="K722" s="1">
        <v>0.27</v>
      </c>
      <c r="L722" s="1">
        <v>1350.5</v>
      </c>
      <c r="M722" s="1" t="s">
        <v>18</v>
      </c>
    </row>
    <row r="723" spans="1:13" x14ac:dyDescent="0.35">
      <c r="A723" s="1" t="s">
        <v>1013</v>
      </c>
      <c r="B723" s="2">
        <v>45529</v>
      </c>
      <c r="C723" s="1" t="s">
        <v>279</v>
      </c>
      <c r="D723" s="1" t="s">
        <v>1493</v>
      </c>
      <c r="E723" s="1" t="s">
        <v>39</v>
      </c>
      <c r="F723" s="1" t="s">
        <v>22</v>
      </c>
      <c r="G723" s="1">
        <v>4</v>
      </c>
      <c r="H723" s="1">
        <v>3498</v>
      </c>
      <c r="I723" s="1">
        <v>13992</v>
      </c>
      <c r="J723" s="1">
        <v>3358.08</v>
      </c>
      <c r="K723" s="1">
        <v>0.24</v>
      </c>
      <c r="L723" s="1">
        <v>10633.92</v>
      </c>
      <c r="M723" s="1" t="s">
        <v>18</v>
      </c>
    </row>
    <row r="724" spans="1:13" x14ac:dyDescent="0.35">
      <c r="A724" s="1" t="s">
        <v>1014</v>
      </c>
      <c r="B724" s="2">
        <v>45194</v>
      </c>
      <c r="C724" s="1" t="s">
        <v>262</v>
      </c>
      <c r="D724" s="1" t="s">
        <v>1490</v>
      </c>
      <c r="E724" s="1" t="s">
        <v>181</v>
      </c>
      <c r="F724" s="1" t="s">
        <v>22</v>
      </c>
      <c r="G724" s="1">
        <v>4</v>
      </c>
      <c r="H724" s="1">
        <v>2814</v>
      </c>
      <c r="I724" s="1">
        <v>11256</v>
      </c>
      <c r="J724" s="1">
        <v>3264.24</v>
      </c>
      <c r="K724" s="1">
        <v>0.28999999999999998</v>
      </c>
      <c r="L724" s="1">
        <v>7991.76</v>
      </c>
      <c r="M724" s="1" t="s">
        <v>18</v>
      </c>
    </row>
    <row r="725" spans="1:13" x14ac:dyDescent="0.35">
      <c r="A725" s="1" t="s">
        <v>1015</v>
      </c>
      <c r="B725" s="2">
        <v>45271</v>
      </c>
      <c r="C725" s="1" t="s">
        <v>370</v>
      </c>
      <c r="D725" s="1" t="s">
        <v>1490</v>
      </c>
      <c r="E725" s="1" t="s">
        <v>26</v>
      </c>
      <c r="F725" s="1" t="s">
        <v>17</v>
      </c>
      <c r="G725" s="1">
        <v>4</v>
      </c>
      <c r="H725" s="1">
        <v>2909</v>
      </c>
      <c r="I725" s="1">
        <v>11636</v>
      </c>
      <c r="J725" s="1">
        <v>1163.6000000000001</v>
      </c>
      <c r="K725" s="1">
        <v>0.1</v>
      </c>
      <c r="L725" s="1">
        <v>10472.4</v>
      </c>
      <c r="M725" s="1" t="s">
        <v>18</v>
      </c>
    </row>
    <row r="726" spans="1:13" x14ac:dyDescent="0.35">
      <c r="A726" s="1" t="s">
        <v>1016</v>
      </c>
      <c r="B726" s="2">
        <v>45468</v>
      </c>
      <c r="C726" s="1" t="s">
        <v>302</v>
      </c>
      <c r="D726" s="1" t="s">
        <v>1491</v>
      </c>
      <c r="E726" s="1" t="s">
        <v>60</v>
      </c>
      <c r="F726" s="1" t="s">
        <v>45</v>
      </c>
      <c r="G726" s="1">
        <v>4</v>
      </c>
      <c r="H726" s="1">
        <v>4495</v>
      </c>
      <c r="I726" s="1">
        <v>17980</v>
      </c>
      <c r="J726" s="1">
        <v>5394</v>
      </c>
      <c r="K726" s="1">
        <v>0.3</v>
      </c>
      <c r="L726" s="1">
        <v>12586</v>
      </c>
      <c r="M726" s="1" t="s">
        <v>18</v>
      </c>
    </row>
    <row r="727" spans="1:13" x14ac:dyDescent="0.35">
      <c r="A727" s="1" t="s">
        <v>1017</v>
      </c>
      <c r="B727" s="2">
        <v>45240</v>
      </c>
      <c r="C727" s="1" t="s">
        <v>834</v>
      </c>
      <c r="D727" s="1" t="s">
        <v>1490</v>
      </c>
      <c r="E727" s="1" t="s">
        <v>16</v>
      </c>
      <c r="F727" s="1" t="s">
        <v>17</v>
      </c>
      <c r="G727" s="1">
        <v>5</v>
      </c>
      <c r="H727" s="1">
        <v>1294</v>
      </c>
      <c r="I727" s="1">
        <v>6470</v>
      </c>
      <c r="J727" s="1">
        <v>323.5</v>
      </c>
      <c r="K727" s="1">
        <v>0.05</v>
      </c>
      <c r="L727" s="1">
        <v>6146.5</v>
      </c>
      <c r="M727" s="1" t="s">
        <v>18</v>
      </c>
    </row>
    <row r="728" spans="1:13" x14ac:dyDescent="0.35">
      <c r="A728" s="1" t="s">
        <v>1018</v>
      </c>
      <c r="B728" s="2">
        <v>45108</v>
      </c>
      <c r="C728" s="1" t="s">
        <v>479</v>
      </c>
      <c r="D728" s="1" t="s">
        <v>1493</v>
      </c>
      <c r="E728" s="1" t="s">
        <v>32</v>
      </c>
      <c r="F728" s="1" t="s">
        <v>17</v>
      </c>
      <c r="G728" s="1">
        <v>4</v>
      </c>
      <c r="H728" s="1">
        <v>3079</v>
      </c>
      <c r="I728" s="1">
        <v>12316</v>
      </c>
      <c r="J728" s="1">
        <v>615.80000000000007</v>
      </c>
      <c r="K728" s="1">
        <v>0.05</v>
      </c>
      <c r="L728" s="1">
        <v>11700.2</v>
      </c>
      <c r="M728" s="1" t="s">
        <v>18</v>
      </c>
    </row>
    <row r="729" spans="1:13" x14ac:dyDescent="0.35">
      <c r="A729" s="1" t="s">
        <v>1019</v>
      </c>
      <c r="B729" s="2">
        <v>45328</v>
      </c>
      <c r="C729" s="1" t="s">
        <v>101</v>
      </c>
      <c r="D729" s="1" t="s">
        <v>1493</v>
      </c>
      <c r="E729" s="1" t="s">
        <v>16</v>
      </c>
      <c r="F729" s="1" t="s">
        <v>17</v>
      </c>
      <c r="G729" s="1">
        <v>3</v>
      </c>
      <c r="H729" s="1">
        <v>2838</v>
      </c>
      <c r="I729" s="1">
        <v>8514</v>
      </c>
      <c r="J729" s="1">
        <v>681.12</v>
      </c>
      <c r="K729" s="1">
        <v>0.08</v>
      </c>
      <c r="L729" s="1">
        <v>7832.88</v>
      </c>
      <c r="M729" s="1" t="s">
        <v>18</v>
      </c>
    </row>
    <row r="730" spans="1:13" x14ac:dyDescent="0.35">
      <c r="A730" s="1" t="s">
        <v>1020</v>
      </c>
      <c r="B730" s="2">
        <v>44929</v>
      </c>
      <c r="C730" s="1" t="s">
        <v>168</v>
      </c>
      <c r="D730" s="1" t="s">
        <v>1492</v>
      </c>
      <c r="E730" s="1" t="s">
        <v>48</v>
      </c>
      <c r="F730" s="1" t="s">
        <v>17</v>
      </c>
      <c r="G730" s="1">
        <v>10</v>
      </c>
      <c r="H730" s="1">
        <v>2738</v>
      </c>
      <c r="I730" s="1">
        <v>27380</v>
      </c>
      <c r="J730" s="1">
        <v>7666.4000000000005</v>
      </c>
      <c r="K730" s="1">
        <v>0.28000000000000003</v>
      </c>
      <c r="L730" s="1">
        <v>19713.599999999999</v>
      </c>
      <c r="M730" s="1" t="s">
        <v>18</v>
      </c>
    </row>
    <row r="731" spans="1:13" x14ac:dyDescent="0.35">
      <c r="A731" s="1" t="s">
        <v>1021</v>
      </c>
      <c r="B731" s="2">
        <v>45026</v>
      </c>
      <c r="C731" s="1" t="s">
        <v>544</v>
      </c>
      <c r="D731" s="1" t="s">
        <v>1490</v>
      </c>
      <c r="E731" s="1" t="s">
        <v>189</v>
      </c>
      <c r="F731" s="1" t="s">
        <v>45</v>
      </c>
      <c r="G731" s="1">
        <v>10</v>
      </c>
      <c r="H731" s="1">
        <v>2672</v>
      </c>
      <c r="I731" s="1">
        <v>26720</v>
      </c>
      <c r="J731" s="1">
        <v>3473.6</v>
      </c>
      <c r="K731" s="1">
        <v>0.13</v>
      </c>
      <c r="L731" s="1">
        <v>23246.400000000001</v>
      </c>
      <c r="M731" s="1" t="s">
        <v>18</v>
      </c>
    </row>
    <row r="732" spans="1:13" x14ac:dyDescent="0.35">
      <c r="A732" s="1" t="s">
        <v>1022</v>
      </c>
      <c r="B732" s="2">
        <v>45044</v>
      </c>
      <c r="C732" s="1" t="s">
        <v>812</v>
      </c>
      <c r="D732" s="1" t="s">
        <v>1490</v>
      </c>
      <c r="E732" s="1" t="s">
        <v>21</v>
      </c>
      <c r="F732" s="1" t="s">
        <v>22</v>
      </c>
      <c r="G732" s="1">
        <v>10</v>
      </c>
      <c r="H732" s="1">
        <v>3621</v>
      </c>
      <c r="I732" s="1">
        <v>36210</v>
      </c>
      <c r="J732" s="1">
        <v>9052.5</v>
      </c>
      <c r="K732" s="1">
        <v>0.25</v>
      </c>
      <c r="L732" s="1">
        <v>27157.5</v>
      </c>
      <c r="M732" s="1" t="s">
        <v>18</v>
      </c>
    </row>
    <row r="733" spans="1:13" x14ac:dyDescent="0.35">
      <c r="A733" s="1" t="s">
        <v>1023</v>
      </c>
      <c r="B733" s="2">
        <v>45211</v>
      </c>
      <c r="C733" s="1" t="s">
        <v>59</v>
      </c>
      <c r="D733" s="1" t="s">
        <v>1492</v>
      </c>
      <c r="E733" s="1" t="s">
        <v>26</v>
      </c>
      <c r="F733" s="1" t="s">
        <v>17</v>
      </c>
      <c r="G733" s="1">
        <v>2</v>
      </c>
      <c r="H733" s="1">
        <v>830</v>
      </c>
      <c r="I733" s="1">
        <v>1660</v>
      </c>
      <c r="J733" s="1">
        <v>365.2</v>
      </c>
      <c r="K733" s="1">
        <v>0.22</v>
      </c>
      <c r="L733" s="1">
        <v>1294.8</v>
      </c>
      <c r="M733" s="1" t="s">
        <v>18</v>
      </c>
    </row>
    <row r="734" spans="1:13" x14ac:dyDescent="0.35">
      <c r="A734" s="1" t="s">
        <v>1024</v>
      </c>
      <c r="B734" s="2">
        <v>45243</v>
      </c>
      <c r="C734" s="1" t="s">
        <v>161</v>
      </c>
      <c r="D734" s="1" t="s">
        <v>1490</v>
      </c>
      <c r="E734" s="1" t="s">
        <v>29</v>
      </c>
      <c r="F734" s="1" t="s">
        <v>22</v>
      </c>
      <c r="G734" s="1">
        <v>9</v>
      </c>
      <c r="H734" s="1">
        <v>889</v>
      </c>
      <c r="I734" s="1">
        <v>8001</v>
      </c>
      <c r="J734" s="1">
        <v>1600.2</v>
      </c>
      <c r="K734" s="1">
        <v>0.2</v>
      </c>
      <c r="L734" s="1">
        <v>6400.8</v>
      </c>
      <c r="M734" s="1" t="s">
        <v>18</v>
      </c>
    </row>
    <row r="735" spans="1:13" x14ac:dyDescent="0.35">
      <c r="A735" s="1" t="s">
        <v>1025</v>
      </c>
      <c r="B735" s="2">
        <v>45589</v>
      </c>
      <c r="C735" s="1" t="s">
        <v>254</v>
      </c>
      <c r="D735" s="1" t="s">
        <v>1490</v>
      </c>
      <c r="E735" s="1" t="s">
        <v>39</v>
      </c>
      <c r="F735" s="1" t="s">
        <v>22</v>
      </c>
      <c r="G735" s="1">
        <v>8</v>
      </c>
      <c r="H735" s="1">
        <v>2195</v>
      </c>
      <c r="I735" s="1">
        <v>17560</v>
      </c>
      <c r="J735" s="1">
        <v>2809.6</v>
      </c>
      <c r="K735" s="1">
        <v>0.16</v>
      </c>
      <c r="L735" s="1">
        <v>14750.4</v>
      </c>
      <c r="M735" s="1" t="s">
        <v>18</v>
      </c>
    </row>
    <row r="736" spans="1:13" x14ac:dyDescent="0.35">
      <c r="A736" s="1" t="s">
        <v>1026</v>
      </c>
      <c r="B736" s="2">
        <v>45129</v>
      </c>
      <c r="C736" s="1" t="s">
        <v>214</v>
      </c>
      <c r="D736" s="1" t="s">
        <v>1491</v>
      </c>
      <c r="E736" s="1" t="s">
        <v>44</v>
      </c>
      <c r="F736" s="1" t="s">
        <v>45</v>
      </c>
      <c r="G736" s="1">
        <v>5</v>
      </c>
      <c r="H736" s="1">
        <v>3645</v>
      </c>
      <c r="I736" s="1">
        <v>18225</v>
      </c>
      <c r="J736" s="1">
        <v>1640.25</v>
      </c>
      <c r="K736" s="1">
        <v>0.09</v>
      </c>
      <c r="L736" s="1">
        <v>16584.75</v>
      </c>
      <c r="M736" s="1" t="s">
        <v>18</v>
      </c>
    </row>
    <row r="737" spans="1:13" x14ac:dyDescent="0.35">
      <c r="A737" s="1" t="s">
        <v>1027</v>
      </c>
      <c r="B737" s="2">
        <v>45431</v>
      </c>
      <c r="C737" s="1" t="s">
        <v>201</v>
      </c>
      <c r="D737" s="1" t="s">
        <v>1490</v>
      </c>
      <c r="E737" s="1" t="s">
        <v>48</v>
      </c>
      <c r="F737" s="1" t="s">
        <v>17</v>
      </c>
      <c r="G737" s="1">
        <v>6</v>
      </c>
      <c r="H737" s="1">
        <v>4853</v>
      </c>
      <c r="I737" s="1">
        <v>29118</v>
      </c>
      <c r="J737" s="1">
        <v>5823.6</v>
      </c>
      <c r="K737" s="1">
        <v>0.2</v>
      </c>
      <c r="L737" s="1">
        <v>23294.400000000001</v>
      </c>
      <c r="M737" s="1" t="s">
        <v>18</v>
      </c>
    </row>
    <row r="738" spans="1:13" x14ac:dyDescent="0.35">
      <c r="A738" s="1" t="s">
        <v>1028</v>
      </c>
      <c r="B738" s="2">
        <v>45588</v>
      </c>
      <c r="C738" s="1" t="s">
        <v>152</v>
      </c>
      <c r="D738" s="1" t="s">
        <v>1493</v>
      </c>
      <c r="E738" s="1" t="s">
        <v>29</v>
      </c>
      <c r="F738" s="1" t="s">
        <v>22</v>
      </c>
      <c r="G738" s="1">
        <v>4</v>
      </c>
      <c r="H738" s="1">
        <v>925</v>
      </c>
      <c r="I738" s="1">
        <v>3700</v>
      </c>
      <c r="J738" s="1">
        <v>481</v>
      </c>
      <c r="K738" s="1">
        <v>0.13</v>
      </c>
      <c r="L738" s="1">
        <v>3219</v>
      </c>
      <c r="M738" s="1" t="s">
        <v>18</v>
      </c>
    </row>
    <row r="739" spans="1:13" x14ac:dyDescent="0.35">
      <c r="A739" s="1" t="s">
        <v>1029</v>
      </c>
      <c r="B739" s="2">
        <v>45405</v>
      </c>
      <c r="C739" s="1" t="s">
        <v>443</v>
      </c>
      <c r="D739" s="1" t="s">
        <v>1493</v>
      </c>
      <c r="E739" s="1" t="s">
        <v>57</v>
      </c>
      <c r="F739" s="1" t="s">
        <v>45</v>
      </c>
      <c r="G739" s="1">
        <v>10</v>
      </c>
      <c r="H739" s="1">
        <v>1609</v>
      </c>
      <c r="I739" s="1">
        <v>16090</v>
      </c>
      <c r="J739" s="1">
        <v>1126.3000000000002</v>
      </c>
      <c r="K739" s="1">
        <v>7.0000000000000007E-2</v>
      </c>
      <c r="L739" s="1">
        <v>14963.7</v>
      </c>
      <c r="M739" s="1" t="s">
        <v>18</v>
      </c>
    </row>
    <row r="740" spans="1:13" x14ac:dyDescent="0.35">
      <c r="A740" s="1" t="s">
        <v>1030</v>
      </c>
      <c r="B740" s="2">
        <v>45243</v>
      </c>
      <c r="C740" s="1" t="s">
        <v>116</v>
      </c>
      <c r="D740" s="1" t="s">
        <v>1490</v>
      </c>
      <c r="E740" s="1" t="s">
        <v>60</v>
      </c>
      <c r="F740" s="1" t="s">
        <v>45</v>
      </c>
      <c r="G740" s="1">
        <v>9</v>
      </c>
      <c r="H740" s="1">
        <v>2768</v>
      </c>
      <c r="I740" s="1">
        <v>24912</v>
      </c>
      <c r="J740" s="1">
        <v>747.36</v>
      </c>
      <c r="K740" s="1">
        <v>0.03</v>
      </c>
      <c r="L740" s="1">
        <v>24164.639999999999</v>
      </c>
      <c r="M740" s="1" t="s">
        <v>18</v>
      </c>
    </row>
    <row r="741" spans="1:13" x14ac:dyDescent="0.35">
      <c r="A741" s="1" t="s">
        <v>1031</v>
      </c>
      <c r="B741" s="2">
        <v>45405</v>
      </c>
      <c r="C741" s="1" t="s">
        <v>323</v>
      </c>
      <c r="D741" s="1" t="s">
        <v>1493</v>
      </c>
      <c r="E741" s="1" t="s">
        <v>189</v>
      </c>
      <c r="F741" s="1" t="s">
        <v>45</v>
      </c>
      <c r="G741" s="1">
        <v>3</v>
      </c>
      <c r="H741" s="1">
        <v>1277</v>
      </c>
      <c r="I741" s="1">
        <v>3831</v>
      </c>
      <c r="J741" s="1">
        <v>229.85999999999999</v>
      </c>
      <c r="K741" s="1">
        <v>0.06</v>
      </c>
      <c r="L741" s="1">
        <v>3601.14</v>
      </c>
      <c r="M741" s="1" t="s">
        <v>18</v>
      </c>
    </row>
    <row r="742" spans="1:13" x14ac:dyDescent="0.35">
      <c r="A742" s="1" t="s">
        <v>1032</v>
      </c>
      <c r="B742" s="2">
        <v>45213</v>
      </c>
      <c r="C742" s="1" t="s">
        <v>425</v>
      </c>
      <c r="D742" s="1" t="s">
        <v>1490</v>
      </c>
      <c r="E742" s="1" t="s">
        <v>60</v>
      </c>
      <c r="F742" s="1" t="s">
        <v>45</v>
      </c>
      <c r="G742" s="1">
        <v>6</v>
      </c>
      <c r="H742" s="1">
        <v>4333</v>
      </c>
      <c r="I742" s="1">
        <v>25998</v>
      </c>
      <c r="J742" s="1">
        <v>6759.4800000000005</v>
      </c>
      <c r="K742" s="1">
        <v>0.26</v>
      </c>
      <c r="L742" s="1">
        <v>19238.52</v>
      </c>
      <c r="M742" s="1" t="s">
        <v>18</v>
      </c>
    </row>
    <row r="743" spans="1:13" x14ac:dyDescent="0.35">
      <c r="A743" s="1" t="s">
        <v>1033</v>
      </c>
      <c r="B743" s="2">
        <v>45316</v>
      </c>
      <c r="C743" s="1" t="s">
        <v>467</v>
      </c>
      <c r="D743" s="1" t="s">
        <v>1492</v>
      </c>
      <c r="E743" s="1" t="s">
        <v>32</v>
      </c>
      <c r="F743" s="1" t="s">
        <v>17</v>
      </c>
      <c r="G743" s="1">
        <v>4</v>
      </c>
      <c r="H743" s="1">
        <v>3736</v>
      </c>
      <c r="I743" s="1">
        <v>14944</v>
      </c>
      <c r="J743" s="1">
        <v>3586.56</v>
      </c>
      <c r="K743" s="1">
        <v>0.24</v>
      </c>
      <c r="L743" s="1">
        <v>11357.44</v>
      </c>
      <c r="M743" s="1" t="s">
        <v>18</v>
      </c>
    </row>
    <row r="744" spans="1:13" x14ac:dyDescent="0.35">
      <c r="A744" s="1" t="s">
        <v>1034</v>
      </c>
      <c r="B744" s="2">
        <v>45064</v>
      </c>
      <c r="C744" s="1" t="s">
        <v>968</v>
      </c>
      <c r="D744" s="1" t="s">
        <v>1493</v>
      </c>
      <c r="E744" s="1" t="s">
        <v>29</v>
      </c>
      <c r="F744" s="1" t="s">
        <v>22</v>
      </c>
      <c r="G744" s="1">
        <v>4</v>
      </c>
      <c r="H744" s="1">
        <v>1859</v>
      </c>
      <c r="I744" s="1">
        <v>7436</v>
      </c>
      <c r="J744" s="1">
        <v>371.8</v>
      </c>
      <c r="K744" s="1">
        <v>0.05</v>
      </c>
      <c r="L744" s="1">
        <v>7064.2</v>
      </c>
      <c r="M744" s="1" t="s">
        <v>18</v>
      </c>
    </row>
    <row r="745" spans="1:13" x14ac:dyDescent="0.35">
      <c r="A745" s="1" t="s">
        <v>1035</v>
      </c>
      <c r="B745" s="2">
        <v>45527</v>
      </c>
      <c r="C745" s="1" t="s">
        <v>814</v>
      </c>
      <c r="D745" s="1" t="s">
        <v>1493</v>
      </c>
      <c r="E745" s="1" t="s">
        <v>181</v>
      </c>
      <c r="F745" s="1" t="s">
        <v>22</v>
      </c>
      <c r="G745" s="1">
        <v>1</v>
      </c>
      <c r="H745" s="1">
        <v>566</v>
      </c>
      <c r="I745" s="1">
        <v>566</v>
      </c>
      <c r="J745" s="1">
        <v>11.32</v>
      </c>
      <c r="K745" s="1">
        <v>0.02</v>
      </c>
      <c r="L745" s="1">
        <v>554.67999999999995</v>
      </c>
      <c r="M745" s="1" t="s">
        <v>18</v>
      </c>
    </row>
    <row r="746" spans="1:13" x14ac:dyDescent="0.35">
      <c r="A746" s="1" t="s">
        <v>1036</v>
      </c>
      <c r="B746" s="2">
        <v>45269</v>
      </c>
      <c r="C746" s="1" t="s">
        <v>294</v>
      </c>
      <c r="D746" s="1" t="s">
        <v>1490</v>
      </c>
      <c r="E746" s="1" t="s">
        <v>181</v>
      </c>
      <c r="F746" s="1" t="s">
        <v>22</v>
      </c>
      <c r="G746" s="1">
        <v>7</v>
      </c>
      <c r="H746" s="1">
        <v>2176</v>
      </c>
      <c r="I746" s="1">
        <v>15232</v>
      </c>
      <c r="J746" s="1">
        <v>152.32</v>
      </c>
      <c r="K746" s="1">
        <v>0.01</v>
      </c>
      <c r="L746" s="1">
        <v>15079.68</v>
      </c>
      <c r="M746" s="1" t="s">
        <v>18</v>
      </c>
    </row>
    <row r="747" spans="1:13" x14ac:dyDescent="0.35">
      <c r="A747" s="1" t="s">
        <v>1037</v>
      </c>
      <c r="B747" s="2">
        <v>45046</v>
      </c>
      <c r="C747" s="1" t="s">
        <v>642</v>
      </c>
      <c r="D747" s="1" t="s">
        <v>1493</v>
      </c>
      <c r="E747" s="1" t="s">
        <v>60</v>
      </c>
      <c r="F747" s="1" t="s">
        <v>45</v>
      </c>
      <c r="G747" s="1">
        <v>3</v>
      </c>
      <c r="H747" s="1">
        <v>1593</v>
      </c>
      <c r="I747" s="1">
        <v>4779</v>
      </c>
      <c r="J747" s="1">
        <v>1051.3800000000001</v>
      </c>
      <c r="K747" s="1">
        <v>0.22</v>
      </c>
      <c r="L747" s="1">
        <v>3727.62</v>
      </c>
      <c r="M747" s="1" t="s">
        <v>18</v>
      </c>
    </row>
    <row r="748" spans="1:13" x14ac:dyDescent="0.35">
      <c r="A748" s="1" t="s">
        <v>1038</v>
      </c>
      <c r="B748" s="2">
        <v>45301</v>
      </c>
      <c r="C748" s="1" t="s">
        <v>284</v>
      </c>
      <c r="D748" s="1" t="s">
        <v>1493</v>
      </c>
      <c r="E748" s="1" t="s">
        <v>26</v>
      </c>
      <c r="F748" s="1" t="s">
        <v>17</v>
      </c>
      <c r="G748" s="1">
        <v>9</v>
      </c>
      <c r="H748" s="1">
        <v>4179</v>
      </c>
      <c r="I748" s="1">
        <v>37611</v>
      </c>
      <c r="J748" s="1">
        <v>9778.86</v>
      </c>
      <c r="K748" s="1">
        <v>0.26</v>
      </c>
      <c r="L748" s="1">
        <v>27832.14</v>
      </c>
      <c r="M748" s="1" t="s">
        <v>18</v>
      </c>
    </row>
    <row r="749" spans="1:13" x14ac:dyDescent="0.35">
      <c r="A749" s="1" t="s">
        <v>1039</v>
      </c>
      <c r="B749" s="2">
        <v>45186</v>
      </c>
      <c r="C749" s="1" t="s">
        <v>463</v>
      </c>
      <c r="D749" s="1" t="s">
        <v>1490</v>
      </c>
      <c r="E749" s="1" t="s">
        <v>21</v>
      </c>
      <c r="F749" s="1" t="s">
        <v>22</v>
      </c>
      <c r="G749" s="1">
        <v>3</v>
      </c>
      <c r="H749" s="1">
        <v>2115</v>
      </c>
      <c r="I749" s="1">
        <v>6345</v>
      </c>
      <c r="J749" s="1">
        <v>1459.3500000000001</v>
      </c>
      <c r="K749" s="1">
        <v>0.23</v>
      </c>
      <c r="L749" s="1">
        <v>4885.6499999999996</v>
      </c>
      <c r="M749" s="1" t="s">
        <v>18</v>
      </c>
    </row>
    <row r="750" spans="1:13" x14ac:dyDescent="0.35">
      <c r="A750" s="1" t="s">
        <v>1040</v>
      </c>
      <c r="B750" s="2">
        <v>45531</v>
      </c>
      <c r="C750" s="1" t="s">
        <v>103</v>
      </c>
      <c r="D750" s="1" t="s">
        <v>1490</v>
      </c>
      <c r="E750" s="1" t="s">
        <v>21</v>
      </c>
      <c r="F750" s="1" t="s">
        <v>22</v>
      </c>
      <c r="G750" s="1">
        <v>4</v>
      </c>
      <c r="H750" s="1">
        <v>1064</v>
      </c>
      <c r="I750" s="1">
        <v>4256</v>
      </c>
      <c r="J750" s="1">
        <v>1276.8</v>
      </c>
      <c r="K750" s="1">
        <v>0.3</v>
      </c>
      <c r="L750" s="1">
        <v>2979.2</v>
      </c>
      <c r="M750" s="1" t="s">
        <v>18</v>
      </c>
    </row>
    <row r="751" spans="1:13" x14ac:dyDescent="0.35">
      <c r="A751" s="1" t="s">
        <v>1041</v>
      </c>
      <c r="B751" s="2">
        <v>45365</v>
      </c>
      <c r="C751" s="1" t="s">
        <v>427</v>
      </c>
      <c r="D751" s="1" t="s">
        <v>1491</v>
      </c>
      <c r="E751" s="1" t="s">
        <v>29</v>
      </c>
      <c r="F751" s="1" t="s">
        <v>22</v>
      </c>
      <c r="G751" s="1">
        <v>7</v>
      </c>
      <c r="H751" s="1">
        <v>2627</v>
      </c>
      <c r="I751" s="1">
        <v>18389</v>
      </c>
      <c r="J751" s="1">
        <v>3677.8</v>
      </c>
      <c r="K751" s="1">
        <v>0.2</v>
      </c>
      <c r="L751" s="1">
        <v>14711.2</v>
      </c>
      <c r="M751" s="1" t="s">
        <v>18</v>
      </c>
    </row>
    <row r="752" spans="1:13" x14ac:dyDescent="0.35">
      <c r="A752" s="1" t="s">
        <v>1042</v>
      </c>
      <c r="B752" s="2">
        <v>45016</v>
      </c>
      <c r="C752" s="1" t="s">
        <v>163</v>
      </c>
      <c r="D752" s="1" t="s">
        <v>1490</v>
      </c>
      <c r="E752" s="1" t="s">
        <v>60</v>
      </c>
      <c r="F752" s="1" t="s">
        <v>45</v>
      </c>
      <c r="G752" s="1">
        <v>6</v>
      </c>
      <c r="H752" s="1">
        <v>700</v>
      </c>
      <c r="I752" s="1">
        <v>4200</v>
      </c>
      <c r="J752" s="1">
        <v>1218</v>
      </c>
      <c r="K752" s="1">
        <v>0.28999999999999998</v>
      </c>
      <c r="L752" s="1">
        <v>2982</v>
      </c>
      <c r="M752" s="1" t="s">
        <v>18</v>
      </c>
    </row>
    <row r="753" spans="1:13" x14ac:dyDescent="0.35">
      <c r="A753" s="1" t="s">
        <v>1043</v>
      </c>
      <c r="B753" s="2">
        <v>45182</v>
      </c>
      <c r="C753" s="1" t="s">
        <v>409</v>
      </c>
      <c r="D753" s="1" t="s">
        <v>1491</v>
      </c>
      <c r="E753" s="1" t="s">
        <v>29</v>
      </c>
      <c r="F753" s="1" t="s">
        <v>22</v>
      </c>
      <c r="G753" s="1">
        <v>7</v>
      </c>
      <c r="H753" s="1">
        <v>4303</v>
      </c>
      <c r="I753" s="1">
        <v>30121</v>
      </c>
      <c r="J753" s="1">
        <v>4819.3599999999997</v>
      </c>
      <c r="K753" s="1">
        <v>0.16</v>
      </c>
      <c r="L753" s="1">
        <v>25301.64</v>
      </c>
      <c r="M753" s="1" t="s">
        <v>18</v>
      </c>
    </row>
    <row r="754" spans="1:13" x14ac:dyDescent="0.35">
      <c r="A754" s="1" t="s">
        <v>1044</v>
      </c>
      <c r="B754" s="2">
        <v>44950</v>
      </c>
      <c r="C754" s="1" t="s">
        <v>277</v>
      </c>
      <c r="D754" s="1" t="s">
        <v>1490</v>
      </c>
      <c r="E754" s="1" t="s">
        <v>181</v>
      </c>
      <c r="F754" s="1" t="s">
        <v>22</v>
      </c>
      <c r="G754" s="1">
        <v>9</v>
      </c>
      <c r="H754" s="1">
        <v>4059</v>
      </c>
      <c r="I754" s="1">
        <v>36531</v>
      </c>
      <c r="J754" s="1">
        <v>1826.5500000000002</v>
      </c>
      <c r="K754" s="1">
        <v>0.05</v>
      </c>
      <c r="L754" s="1">
        <v>34704.449999999997</v>
      </c>
      <c r="M754" s="1" t="s">
        <v>18</v>
      </c>
    </row>
    <row r="755" spans="1:13" x14ac:dyDescent="0.35">
      <c r="A755" s="1" t="s">
        <v>1045</v>
      </c>
      <c r="B755" s="2">
        <v>45183</v>
      </c>
      <c r="C755" s="1" t="s">
        <v>425</v>
      </c>
      <c r="D755" s="1" t="s">
        <v>1490</v>
      </c>
      <c r="E755" s="1" t="s">
        <v>26</v>
      </c>
      <c r="F755" s="1" t="s">
        <v>17</v>
      </c>
      <c r="G755" s="1">
        <v>3</v>
      </c>
      <c r="H755" s="1">
        <v>3401</v>
      </c>
      <c r="I755" s="1">
        <v>10203</v>
      </c>
      <c r="J755" s="1">
        <v>3060.9</v>
      </c>
      <c r="K755" s="1">
        <v>0.3</v>
      </c>
      <c r="L755" s="1">
        <v>7142.1</v>
      </c>
      <c r="M755" s="1" t="s">
        <v>18</v>
      </c>
    </row>
    <row r="756" spans="1:13" x14ac:dyDescent="0.35">
      <c r="A756" s="1" t="s">
        <v>1046</v>
      </c>
      <c r="B756" s="2">
        <v>45641</v>
      </c>
      <c r="C756" s="1" t="s">
        <v>157</v>
      </c>
      <c r="D756" s="1" t="s">
        <v>1490</v>
      </c>
      <c r="E756" s="1" t="s">
        <v>29</v>
      </c>
      <c r="F756" s="1" t="s">
        <v>22</v>
      </c>
      <c r="G756" s="1">
        <v>5</v>
      </c>
      <c r="H756" s="1">
        <v>3481</v>
      </c>
      <c r="I756" s="1">
        <v>17405</v>
      </c>
      <c r="J756" s="1">
        <v>1044.3</v>
      </c>
      <c r="K756" s="1">
        <v>0.06</v>
      </c>
      <c r="L756" s="1">
        <v>16360.7</v>
      </c>
      <c r="M756" s="1" t="s">
        <v>18</v>
      </c>
    </row>
    <row r="757" spans="1:13" x14ac:dyDescent="0.35">
      <c r="A757" s="1" t="s">
        <v>1047</v>
      </c>
      <c r="B757" s="2">
        <v>45371</v>
      </c>
      <c r="C757" s="1" t="s">
        <v>493</v>
      </c>
      <c r="D757" s="1" t="s">
        <v>1491</v>
      </c>
      <c r="E757" s="1" t="s">
        <v>48</v>
      </c>
      <c r="F757" s="1" t="s">
        <v>17</v>
      </c>
      <c r="G757" s="1">
        <v>9</v>
      </c>
      <c r="H757" s="1">
        <v>2732</v>
      </c>
      <c r="I757" s="1">
        <v>24588</v>
      </c>
      <c r="J757" s="1">
        <v>1721.16</v>
      </c>
      <c r="K757" s="1">
        <v>7.0000000000000007E-2</v>
      </c>
      <c r="L757" s="1">
        <v>22866.84</v>
      </c>
      <c r="M757" s="1" t="s">
        <v>18</v>
      </c>
    </row>
    <row r="758" spans="1:13" x14ac:dyDescent="0.35">
      <c r="A758" s="1" t="s">
        <v>1048</v>
      </c>
      <c r="B758" s="2">
        <v>45161</v>
      </c>
      <c r="C758" s="1" t="s">
        <v>380</v>
      </c>
      <c r="D758" s="1" t="s">
        <v>1493</v>
      </c>
      <c r="E758" s="1" t="s">
        <v>44</v>
      </c>
      <c r="F758" s="1" t="s">
        <v>45</v>
      </c>
      <c r="G758" s="1">
        <v>4</v>
      </c>
      <c r="H758" s="1">
        <v>2450</v>
      </c>
      <c r="I758" s="1">
        <v>9800</v>
      </c>
      <c r="J758" s="1">
        <v>2450</v>
      </c>
      <c r="K758" s="1">
        <v>0.25</v>
      </c>
      <c r="L758" s="1">
        <v>7350</v>
      </c>
      <c r="M758" s="1" t="s">
        <v>18</v>
      </c>
    </row>
    <row r="759" spans="1:13" x14ac:dyDescent="0.35">
      <c r="A759" s="1" t="s">
        <v>1049</v>
      </c>
      <c r="B759" s="2">
        <v>44942</v>
      </c>
      <c r="C759" s="1" t="s">
        <v>93</v>
      </c>
      <c r="D759" s="1" t="s">
        <v>1492</v>
      </c>
      <c r="E759" s="1" t="s">
        <v>189</v>
      </c>
      <c r="F759" s="1" t="s">
        <v>45</v>
      </c>
      <c r="G759" s="1">
        <v>2</v>
      </c>
      <c r="H759" s="1">
        <v>3015</v>
      </c>
      <c r="I759" s="1">
        <v>6030</v>
      </c>
      <c r="J759" s="1">
        <v>180.9</v>
      </c>
      <c r="K759" s="1">
        <v>0.03</v>
      </c>
      <c r="L759" s="1">
        <v>5849.1</v>
      </c>
      <c r="M759" s="1" t="s">
        <v>18</v>
      </c>
    </row>
    <row r="760" spans="1:13" x14ac:dyDescent="0.35">
      <c r="A760" s="1" t="s">
        <v>1050</v>
      </c>
      <c r="B760" s="2">
        <v>45162</v>
      </c>
      <c r="C760" s="1" t="s">
        <v>123</v>
      </c>
      <c r="D760" s="1" t="s">
        <v>1490</v>
      </c>
      <c r="E760" s="1" t="s">
        <v>39</v>
      </c>
      <c r="F760" s="1" t="s">
        <v>22</v>
      </c>
      <c r="G760" s="1">
        <v>9</v>
      </c>
      <c r="H760" s="1">
        <v>2688</v>
      </c>
      <c r="I760" s="1">
        <v>24192</v>
      </c>
      <c r="J760" s="1">
        <v>1451.52</v>
      </c>
      <c r="K760" s="1">
        <v>0.06</v>
      </c>
      <c r="L760" s="1">
        <v>22740.48</v>
      </c>
      <c r="M760" s="1" t="s">
        <v>18</v>
      </c>
    </row>
    <row r="761" spans="1:13" x14ac:dyDescent="0.35">
      <c r="A761" s="1" t="s">
        <v>1051</v>
      </c>
      <c r="B761" s="2">
        <v>44972</v>
      </c>
      <c r="C761" s="1" t="s">
        <v>570</v>
      </c>
      <c r="D761" s="1" t="s">
        <v>1493</v>
      </c>
      <c r="E761" s="1" t="s">
        <v>26</v>
      </c>
      <c r="F761" s="1" t="s">
        <v>17</v>
      </c>
      <c r="G761" s="1">
        <v>5</v>
      </c>
      <c r="H761" s="1">
        <v>1756</v>
      </c>
      <c r="I761" s="1">
        <v>8780</v>
      </c>
      <c r="J761" s="1">
        <v>175.6</v>
      </c>
      <c r="K761" s="1">
        <v>0.02</v>
      </c>
      <c r="L761" s="1">
        <v>8604.4</v>
      </c>
      <c r="M761" s="1" t="s">
        <v>18</v>
      </c>
    </row>
    <row r="762" spans="1:13" x14ac:dyDescent="0.35">
      <c r="A762" s="1" t="s">
        <v>1052</v>
      </c>
      <c r="B762" s="2">
        <v>45584</v>
      </c>
      <c r="C762" s="1" t="s">
        <v>37</v>
      </c>
      <c r="D762" s="1" t="s">
        <v>1493</v>
      </c>
      <c r="E762" s="1" t="s">
        <v>60</v>
      </c>
      <c r="F762" s="1" t="s">
        <v>45</v>
      </c>
      <c r="G762" s="1">
        <v>1</v>
      </c>
      <c r="H762" s="1">
        <v>4877</v>
      </c>
      <c r="I762" s="1">
        <v>4877</v>
      </c>
      <c r="J762" s="1">
        <v>1024.17</v>
      </c>
      <c r="K762" s="1">
        <v>0.21</v>
      </c>
      <c r="L762" s="1">
        <v>3852.83</v>
      </c>
      <c r="M762" s="1" t="s">
        <v>18</v>
      </c>
    </row>
    <row r="763" spans="1:13" x14ac:dyDescent="0.35">
      <c r="A763" s="1" t="s">
        <v>1053</v>
      </c>
      <c r="B763" s="2">
        <v>45377</v>
      </c>
      <c r="C763" s="1" t="s">
        <v>487</v>
      </c>
      <c r="D763" s="1" t="s">
        <v>1493</v>
      </c>
      <c r="E763" s="1" t="s">
        <v>26</v>
      </c>
      <c r="F763" s="1" t="s">
        <v>17</v>
      </c>
      <c r="G763" s="1">
        <v>7</v>
      </c>
      <c r="H763" s="1">
        <v>4551</v>
      </c>
      <c r="I763" s="1">
        <v>31857</v>
      </c>
      <c r="J763" s="1">
        <v>7964.25</v>
      </c>
      <c r="K763" s="1">
        <v>0.25</v>
      </c>
      <c r="L763" s="1">
        <v>23892.75</v>
      </c>
      <c r="M763" s="1" t="s">
        <v>18</v>
      </c>
    </row>
    <row r="764" spans="1:13" x14ac:dyDescent="0.35">
      <c r="A764" s="1" t="s">
        <v>1054</v>
      </c>
      <c r="B764" s="2">
        <v>45213</v>
      </c>
      <c r="C764" s="1" t="s">
        <v>576</v>
      </c>
      <c r="D764" s="1" t="s">
        <v>1490</v>
      </c>
      <c r="E764" s="1" t="s">
        <v>44</v>
      </c>
      <c r="F764" s="1" t="s">
        <v>45</v>
      </c>
      <c r="G764" s="1">
        <v>6</v>
      </c>
      <c r="H764" s="1">
        <v>1220</v>
      </c>
      <c r="I764" s="1">
        <v>7320</v>
      </c>
      <c r="J764" s="1">
        <v>73.2</v>
      </c>
      <c r="K764" s="1">
        <v>0.01</v>
      </c>
      <c r="L764" s="1">
        <v>7246.8</v>
      </c>
      <c r="M764" s="1" t="s">
        <v>18</v>
      </c>
    </row>
    <row r="765" spans="1:13" x14ac:dyDescent="0.35">
      <c r="A765" s="1" t="s">
        <v>1055</v>
      </c>
      <c r="B765" s="2">
        <v>45260</v>
      </c>
      <c r="C765" s="1" t="s">
        <v>555</v>
      </c>
      <c r="D765" s="1" t="s">
        <v>1490</v>
      </c>
      <c r="E765" s="1" t="s">
        <v>44</v>
      </c>
      <c r="F765" s="1" t="s">
        <v>45</v>
      </c>
      <c r="G765" s="1">
        <v>5</v>
      </c>
      <c r="H765" s="1">
        <v>1920</v>
      </c>
      <c r="I765" s="1">
        <v>9600</v>
      </c>
      <c r="J765" s="1">
        <v>1056</v>
      </c>
      <c r="K765" s="1">
        <v>0.11</v>
      </c>
      <c r="L765" s="1">
        <v>8544</v>
      </c>
      <c r="M765" s="1" t="s">
        <v>18</v>
      </c>
    </row>
    <row r="766" spans="1:13" x14ac:dyDescent="0.35">
      <c r="A766" s="1" t="s">
        <v>1056</v>
      </c>
      <c r="B766" s="2">
        <v>45501</v>
      </c>
      <c r="C766" s="1" t="s">
        <v>52</v>
      </c>
      <c r="D766" s="1" t="s">
        <v>1490</v>
      </c>
      <c r="E766" s="1" t="s">
        <v>189</v>
      </c>
      <c r="F766" s="1" t="s">
        <v>45</v>
      </c>
      <c r="G766" s="1">
        <v>2</v>
      </c>
      <c r="H766" s="1">
        <v>3007</v>
      </c>
      <c r="I766" s="1">
        <v>6014</v>
      </c>
      <c r="J766" s="1">
        <v>120.28</v>
      </c>
      <c r="K766" s="1">
        <v>0.02</v>
      </c>
      <c r="L766" s="1">
        <v>5893.72</v>
      </c>
      <c r="M766" s="1" t="s">
        <v>18</v>
      </c>
    </row>
    <row r="767" spans="1:13" x14ac:dyDescent="0.35">
      <c r="A767" s="1" t="s">
        <v>1057</v>
      </c>
      <c r="B767" s="2">
        <v>44958</v>
      </c>
      <c r="C767" s="1" t="s">
        <v>154</v>
      </c>
      <c r="D767" s="1" t="s">
        <v>1493</v>
      </c>
      <c r="E767" s="1" t="s">
        <v>60</v>
      </c>
      <c r="F767" s="1" t="s">
        <v>45</v>
      </c>
      <c r="G767" s="1">
        <v>8</v>
      </c>
      <c r="H767" s="1">
        <v>3163</v>
      </c>
      <c r="I767" s="1">
        <v>25304</v>
      </c>
      <c r="J767" s="1">
        <v>506.08</v>
      </c>
      <c r="K767" s="1">
        <v>0.02</v>
      </c>
      <c r="L767" s="1">
        <v>24797.919999999998</v>
      </c>
      <c r="M767" s="1" t="s">
        <v>18</v>
      </c>
    </row>
    <row r="768" spans="1:13" x14ac:dyDescent="0.35">
      <c r="A768" s="1" t="s">
        <v>1058</v>
      </c>
      <c r="B768" s="2">
        <v>45528</v>
      </c>
      <c r="C768" s="1" t="s">
        <v>384</v>
      </c>
      <c r="D768" s="1" t="s">
        <v>1490</v>
      </c>
      <c r="E768" s="1" t="s">
        <v>48</v>
      </c>
      <c r="F768" s="1" t="s">
        <v>17</v>
      </c>
      <c r="G768" s="1">
        <v>6</v>
      </c>
      <c r="H768" s="1">
        <v>2151</v>
      </c>
      <c r="I768" s="1">
        <v>12906</v>
      </c>
      <c r="J768" s="1">
        <v>1419.66</v>
      </c>
      <c r="K768" s="1">
        <v>0.11</v>
      </c>
      <c r="L768" s="1">
        <v>11486.34</v>
      </c>
      <c r="M768" s="1" t="s">
        <v>18</v>
      </c>
    </row>
    <row r="769" spans="1:13" x14ac:dyDescent="0.35">
      <c r="A769" s="1" t="s">
        <v>1059</v>
      </c>
      <c r="B769" s="2">
        <v>45548</v>
      </c>
      <c r="C769" s="1" t="s">
        <v>31</v>
      </c>
      <c r="D769" s="1" t="s">
        <v>1492</v>
      </c>
      <c r="E769" s="1" t="s">
        <v>39</v>
      </c>
      <c r="F769" s="1" t="s">
        <v>22</v>
      </c>
      <c r="G769" s="1">
        <v>9</v>
      </c>
      <c r="H769" s="1">
        <v>3068</v>
      </c>
      <c r="I769" s="1">
        <v>27612</v>
      </c>
      <c r="J769" s="1">
        <v>1932.8400000000001</v>
      </c>
      <c r="K769" s="1">
        <v>7.0000000000000007E-2</v>
      </c>
      <c r="L769" s="1">
        <v>25679.16</v>
      </c>
      <c r="M769" s="1" t="s">
        <v>18</v>
      </c>
    </row>
    <row r="770" spans="1:13" x14ac:dyDescent="0.35">
      <c r="A770" s="1" t="s">
        <v>1060</v>
      </c>
      <c r="B770" s="2">
        <v>45400</v>
      </c>
      <c r="C770" s="1" t="s">
        <v>658</v>
      </c>
      <c r="D770" s="1" t="s">
        <v>1492</v>
      </c>
      <c r="E770" s="1" t="s">
        <v>57</v>
      </c>
      <c r="F770" s="1" t="s">
        <v>45</v>
      </c>
      <c r="G770" s="1">
        <v>10</v>
      </c>
      <c r="H770" s="1">
        <v>318</v>
      </c>
      <c r="I770" s="1">
        <v>3180</v>
      </c>
      <c r="J770" s="1">
        <v>636</v>
      </c>
      <c r="K770" s="1">
        <v>0.2</v>
      </c>
      <c r="L770" s="1">
        <v>2544</v>
      </c>
      <c r="M770" s="1" t="s">
        <v>18</v>
      </c>
    </row>
    <row r="771" spans="1:13" x14ac:dyDescent="0.35">
      <c r="A771" s="1" t="s">
        <v>1061</v>
      </c>
      <c r="B771" s="2">
        <v>45637</v>
      </c>
      <c r="C771" s="1" t="s">
        <v>458</v>
      </c>
      <c r="D771" s="1" t="s">
        <v>1492</v>
      </c>
      <c r="E771" s="1" t="s">
        <v>29</v>
      </c>
      <c r="F771" s="1" t="s">
        <v>22</v>
      </c>
      <c r="G771" s="1">
        <v>1</v>
      </c>
      <c r="H771" s="1">
        <v>155</v>
      </c>
      <c r="I771" s="1">
        <v>155</v>
      </c>
      <c r="J771" s="1">
        <v>38.75</v>
      </c>
      <c r="K771" s="1">
        <v>0.25</v>
      </c>
      <c r="L771" s="1">
        <v>116.25</v>
      </c>
      <c r="M771" s="1" t="s">
        <v>18</v>
      </c>
    </row>
    <row r="772" spans="1:13" x14ac:dyDescent="0.35">
      <c r="A772" s="1" t="s">
        <v>1062</v>
      </c>
      <c r="B772" s="2">
        <v>45644</v>
      </c>
      <c r="C772" s="1" t="s">
        <v>114</v>
      </c>
      <c r="D772" s="1" t="s">
        <v>1490</v>
      </c>
      <c r="E772" s="1" t="s">
        <v>181</v>
      </c>
      <c r="F772" s="1" t="s">
        <v>22</v>
      </c>
      <c r="G772" s="1">
        <v>10</v>
      </c>
      <c r="H772" s="1">
        <v>1800</v>
      </c>
      <c r="I772" s="1">
        <v>18000</v>
      </c>
      <c r="J772" s="1">
        <v>3600</v>
      </c>
      <c r="K772" s="1">
        <v>0.2</v>
      </c>
      <c r="L772" s="1">
        <v>14400</v>
      </c>
      <c r="M772" s="1" t="s">
        <v>18</v>
      </c>
    </row>
    <row r="773" spans="1:13" x14ac:dyDescent="0.35">
      <c r="A773" s="1" t="s">
        <v>1063</v>
      </c>
      <c r="B773" s="2">
        <v>45176</v>
      </c>
      <c r="C773" s="1" t="s">
        <v>570</v>
      </c>
      <c r="D773" s="1" t="s">
        <v>1493</v>
      </c>
      <c r="E773" s="1" t="s">
        <v>21</v>
      </c>
      <c r="F773" s="1" t="s">
        <v>22</v>
      </c>
      <c r="G773" s="1">
        <v>1</v>
      </c>
      <c r="H773" s="1">
        <v>3898</v>
      </c>
      <c r="I773" s="1">
        <v>3898</v>
      </c>
      <c r="J773" s="1">
        <v>857.56000000000006</v>
      </c>
      <c r="K773" s="1">
        <v>0.22</v>
      </c>
      <c r="L773" s="1">
        <v>3040.44</v>
      </c>
      <c r="M773" s="1" t="s">
        <v>18</v>
      </c>
    </row>
    <row r="774" spans="1:13" x14ac:dyDescent="0.35">
      <c r="A774" s="1" t="s">
        <v>1064</v>
      </c>
      <c r="B774" s="2">
        <v>45155</v>
      </c>
      <c r="C774" s="1" t="s">
        <v>388</v>
      </c>
      <c r="D774" s="1" t="s">
        <v>1493</v>
      </c>
      <c r="E774" s="1" t="s">
        <v>60</v>
      </c>
      <c r="F774" s="1" t="s">
        <v>45</v>
      </c>
      <c r="G774" s="1">
        <v>3</v>
      </c>
      <c r="H774" s="1">
        <v>682</v>
      </c>
      <c r="I774" s="1">
        <v>2046</v>
      </c>
      <c r="J774" s="1">
        <v>40.92</v>
      </c>
      <c r="K774" s="1">
        <v>0.02</v>
      </c>
      <c r="L774" s="1">
        <v>2005.08</v>
      </c>
      <c r="M774" s="1" t="s">
        <v>18</v>
      </c>
    </row>
    <row r="775" spans="1:13" x14ac:dyDescent="0.35">
      <c r="A775" s="1" t="s">
        <v>1065</v>
      </c>
      <c r="B775" s="2">
        <v>45384</v>
      </c>
      <c r="C775" s="1" t="s">
        <v>214</v>
      </c>
      <c r="D775" s="1" t="s">
        <v>1491</v>
      </c>
      <c r="E775" s="1" t="s">
        <v>44</v>
      </c>
      <c r="F775" s="1" t="s">
        <v>45</v>
      </c>
      <c r="G775" s="1">
        <v>10</v>
      </c>
      <c r="H775" s="1">
        <v>4091</v>
      </c>
      <c r="I775" s="1">
        <v>40910</v>
      </c>
      <c r="J775" s="1">
        <v>3272.8</v>
      </c>
      <c r="K775" s="1">
        <v>0.08</v>
      </c>
      <c r="L775" s="1">
        <v>37637.199999999997</v>
      </c>
      <c r="M775" s="1" t="s">
        <v>18</v>
      </c>
    </row>
    <row r="776" spans="1:13" x14ac:dyDescent="0.35">
      <c r="A776" s="1" t="s">
        <v>1066</v>
      </c>
      <c r="B776" s="2">
        <v>45575</v>
      </c>
      <c r="C776" s="1" t="s">
        <v>191</v>
      </c>
      <c r="D776" s="1" t="s">
        <v>1492</v>
      </c>
      <c r="E776" s="1" t="s">
        <v>16</v>
      </c>
      <c r="F776" s="1" t="s">
        <v>17</v>
      </c>
      <c r="G776" s="1">
        <v>1</v>
      </c>
      <c r="H776" s="1">
        <v>3985</v>
      </c>
      <c r="I776" s="1">
        <v>3985</v>
      </c>
      <c r="J776" s="1">
        <v>478.2</v>
      </c>
      <c r="K776" s="1">
        <v>0.12</v>
      </c>
      <c r="L776" s="1">
        <v>3506.8</v>
      </c>
      <c r="M776" s="1" t="s">
        <v>18</v>
      </c>
    </row>
    <row r="777" spans="1:13" x14ac:dyDescent="0.35">
      <c r="A777" s="1" t="s">
        <v>1067</v>
      </c>
      <c r="B777" s="2">
        <v>45069</v>
      </c>
      <c r="C777" s="1" t="s">
        <v>314</v>
      </c>
      <c r="D777" s="1" t="s">
        <v>1492</v>
      </c>
      <c r="E777" s="1" t="s">
        <v>48</v>
      </c>
      <c r="F777" s="1" t="s">
        <v>17</v>
      </c>
      <c r="G777" s="1">
        <v>8</v>
      </c>
      <c r="H777" s="1">
        <v>1245</v>
      </c>
      <c r="I777" s="1">
        <v>9960</v>
      </c>
      <c r="J777" s="1">
        <v>2191.1999999999998</v>
      </c>
      <c r="K777" s="1">
        <v>0.22</v>
      </c>
      <c r="L777" s="1">
        <v>7768.8</v>
      </c>
      <c r="M777" s="1" t="s">
        <v>18</v>
      </c>
    </row>
    <row r="778" spans="1:13" x14ac:dyDescent="0.35">
      <c r="A778" s="1" t="s">
        <v>1068</v>
      </c>
      <c r="B778" s="2">
        <v>45116</v>
      </c>
      <c r="C778" s="1" t="s">
        <v>617</v>
      </c>
      <c r="D778" s="1" t="s">
        <v>1491</v>
      </c>
      <c r="E778" s="1" t="s">
        <v>189</v>
      </c>
      <c r="F778" s="1" t="s">
        <v>45</v>
      </c>
      <c r="G778" s="1">
        <v>9</v>
      </c>
      <c r="H778" s="1">
        <v>4961</v>
      </c>
      <c r="I778" s="1">
        <v>44649</v>
      </c>
      <c r="J778" s="1">
        <v>10715.76</v>
      </c>
      <c r="K778" s="1">
        <v>0.24</v>
      </c>
      <c r="L778" s="1">
        <v>33933.24</v>
      </c>
      <c r="M778" s="1" t="s">
        <v>18</v>
      </c>
    </row>
    <row r="779" spans="1:13" x14ac:dyDescent="0.35">
      <c r="A779" s="1" t="s">
        <v>1069</v>
      </c>
      <c r="B779" s="2">
        <v>45299</v>
      </c>
      <c r="C779" s="1" t="s">
        <v>47</v>
      </c>
      <c r="D779" s="1" t="s">
        <v>1492</v>
      </c>
      <c r="E779" s="1" t="s">
        <v>39</v>
      </c>
      <c r="F779" s="1" t="s">
        <v>22</v>
      </c>
      <c r="G779" s="1">
        <v>8</v>
      </c>
      <c r="H779" s="1">
        <v>4892</v>
      </c>
      <c r="I779" s="1">
        <v>39136</v>
      </c>
      <c r="J779" s="1">
        <v>7044.48</v>
      </c>
      <c r="K779" s="1">
        <v>0.18</v>
      </c>
      <c r="L779" s="1">
        <v>32091.52</v>
      </c>
      <c r="M779" s="1" t="s">
        <v>18</v>
      </c>
    </row>
    <row r="780" spans="1:13" x14ac:dyDescent="0.35">
      <c r="A780" s="1" t="s">
        <v>1070</v>
      </c>
      <c r="B780" s="2">
        <v>45097</v>
      </c>
      <c r="C780" s="1" t="s">
        <v>812</v>
      </c>
      <c r="D780" s="1" t="s">
        <v>1490</v>
      </c>
      <c r="E780" s="1" t="s">
        <v>32</v>
      </c>
      <c r="F780" s="1" t="s">
        <v>17</v>
      </c>
      <c r="G780" s="1">
        <v>1</v>
      </c>
      <c r="H780" s="1">
        <v>2661</v>
      </c>
      <c r="I780" s="1">
        <v>2661</v>
      </c>
      <c r="J780" s="1">
        <v>585.41999999999996</v>
      </c>
      <c r="K780" s="1">
        <v>0.22</v>
      </c>
      <c r="L780" s="1">
        <v>2075.58</v>
      </c>
      <c r="M780" s="1" t="s">
        <v>18</v>
      </c>
    </row>
    <row r="781" spans="1:13" x14ac:dyDescent="0.35">
      <c r="A781" s="1" t="s">
        <v>1071</v>
      </c>
      <c r="B781" s="2">
        <v>45040</v>
      </c>
      <c r="C781" s="1" t="s">
        <v>225</v>
      </c>
      <c r="D781" s="1" t="s">
        <v>1490</v>
      </c>
      <c r="E781" s="1" t="s">
        <v>181</v>
      </c>
      <c r="F781" s="1" t="s">
        <v>22</v>
      </c>
      <c r="G781" s="1">
        <v>7</v>
      </c>
      <c r="H781" s="1">
        <v>2052</v>
      </c>
      <c r="I781" s="1">
        <v>14364</v>
      </c>
      <c r="J781" s="1">
        <v>1723.6799999999998</v>
      </c>
      <c r="K781" s="1">
        <v>0.12</v>
      </c>
      <c r="L781" s="1">
        <v>12640.32</v>
      </c>
      <c r="M781" s="1" t="s">
        <v>18</v>
      </c>
    </row>
    <row r="782" spans="1:13" x14ac:dyDescent="0.35">
      <c r="A782" s="1" t="s">
        <v>1072</v>
      </c>
      <c r="B782" s="2">
        <v>45569</v>
      </c>
      <c r="C782" s="1" t="s">
        <v>518</v>
      </c>
      <c r="D782" s="1" t="s">
        <v>1492</v>
      </c>
      <c r="E782" s="1" t="s">
        <v>181</v>
      </c>
      <c r="F782" s="1" t="s">
        <v>22</v>
      </c>
      <c r="G782" s="1">
        <v>8</v>
      </c>
      <c r="H782" s="1">
        <v>3130</v>
      </c>
      <c r="I782" s="1">
        <v>25040</v>
      </c>
      <c r="J782" s="1">
        <v>6260</v>
      </c>
      <c r="K782" s="1">
        <v>0.25</v>
      </c>
      <c r="L782" s="1">
        <v>18780</v>
      </c>
      <c r="M782" s="1" t="s">
        <v>18</v>
      </c>
    </row>
    <row r="783" spans="1:13" x14ac:dyDescent="0.35">
      <c r="A783" s="1" t="s">
        <v>1073</v>
      </c>
      <c r="B783" s="2">
        <v>45644</v>
      </c>
      <c r="C783" s="1" t="s">
        <v>642</v>
      </c>
      <c r="D783" s="1" t="s">
        <v>1493</v>
      </c>
      <c r="E783" s="1" t="s">
        <v>21</v>
      </c>
      <c r="F783" s="1" t="s">
        <v>22</v>
      </c>
      <c r="G783" s="1">
        <v>3</v>
      </c>
      <c r="H783" s="1">
        <v>1831</v>
      </c>
      <c r="I783" s="1">
        <v>5493</v>
      </c>
      <c r="J783" s="1">
        <v>549.30000000000007</v>
      </c>
      <c r="K783" s="1">
        <v>0.1</v>
      </c>
      <c r="L783" s="1">
        <v>4943.7</v>
      </c>
      <c r="M783" s="1" t="s">
        <v>18</v>
      </c>
    </row>
    <row r="784" spans="1:13" x14ac:dyDescent="0.35">
      <c r="A784" s="1" t="s">
        <v>1074</v>
      </c>
      <c r="B784" s="2">
        <v>45382</v>
      </c>
      <c r="C784" s="1" t="s">
        <v>334</v>
      </c>
      <c r="D784" s="1" t="s">
        <v>1490</v>
      </c>
      <c r="E784" s="1" t="s">
        <v>26</v>
      </c>
      <c r="F784" s="1" t="s">
        <v>17</v>
      </c>
      <c r="G784" s="1">
        <v>7</v>
      </c>
      <c r="H784" s="1">
        <v>358</v>
      </c>
      <c r="I784" s="1">
        <v>2506</v>
      </c>
      <c r="J784" s="1">
        <v>150.35999999999999</v>
      </c>
      <c r="K784" s="1">
        <v>0.06</v>
      </c>
      <c r="L784" s="1">
        <v>2355.64</v>
      </c>
      <c r="M784" s="1" t="s">
        <v>18</v>
      </c>
    </row>
    <row r="785" spans="1:13" x14ac:dyDescent="0.35">
      <c r="A785" s="1" t="s">
        <v>1075</v>
      </c>
      <c r="B785" s="2">
        <v>45203</v>
      </c>
      <c r="C785" s="1" t="s">
        <v>311</v>
      </c>
      <c r="D785" s="1" t="s">
        <v>1490</v>
      </c>
      <c r="E785" s="1" t="s">
        <v>32</v>
      </c>
      <c r="F785" s="1" t="s">
        <v>17</v>
      </c>
      <c r="G785" s="1">
        <v>5</v>
      </c>
      <c r="H785" s="1">
        <v>1699</v>
      </c>
      <c r="I785" s="1">
        <v>8495</v>
      </c>
      <c r="J785" s="1">
        <v>764.55</v>
      </c>
      <c r="K785" s="1">
        <v>0.09</v>
      </c>
      <c r="L785" s="1">
        <v>7730.45</v>
      </c>
      <c r="M785" s="1" t="s">
        <v>18</v>
      </c>
    </row>
    <row r="786" spans="1:13" x14ac:dyDescent="0.35">
      <c r="A786" s="1" t="s">
        <v>1076</v>
      </c>
      <c r="B786" s="2">
        <v>44993</v>
      </c>
      <c r="C786" s="1" t="s">
        <v>544</v>
      </c>
      <c r="D786" s="1" t="s">
        <v>1490</v>
      </c>
      <c r="E786" s="1" t="s">
        <v>26</v>
      </c>
      <c r="F786" s="1" t="s">
        <v>17</v>
      </c>
      <c r="G786" s="1">
        <v>9</v>
      </c>
      <c r="H786" s="1">
        <v>849</v>
      </c>
      <c r="I786" s="1">
        <v>7641</v>
      </c>
      <c r="J786" s="1">
        <v>0</v>
      </c>
      <c r="K786" s="1">
        <v>0</v>
      </c>
      <c r="L786" s="1">
        <v>7641</v>
      </c>
      <c r="M786" s="1" t="s">
        <v>18</v>
      </c>
    </row>
    <row r="787" spans="1:13" x14ac:dyDescent="0.35">
      <c r="A787" s="1" t="s">
        <v>1077</v>
      </c>
      <c r="B787" s="2">
        <v>45568</v>
      </c>
      <c r="C787" s="1" t="s">
        <v>834</v>
      </c>
      <c r="D787" s="1" t="s">
        <v>1490</v>
      </c>
      <c r="E787" s="1" t="s">
        <v>32</v>
      </c>
      <c r="F787" s="1" t="s">
        <v>17</v>
      </c>
      <c r="G787" s="1">
        <v>4</v>
      </c>
      <c r="H787" s="1">
        <v>539</v>
      </c>
      <c r="I787" s="1">
        <v>2156</v>
      </c>
      <c r="J787" s="1">
        <v>323.39999999999998</v>
      </c>
      <c r="K787" s="1">
        <v>0.15</v>
      </c>
      <c r="L787" s="1">
        <v>1832.6</v>
      </c>
      <c r="M787" s="1" t="s">
        <v>18</v>
      </c>
    </row>
    <row r="788" spans="1:13" x14ac:dyDescent="0.35">
      <c r="A788" s="1" t="s">
        <v>1078</v>
      </c>
      <c r="B788" s="2">
        <v>45062</v>
      </c>
      <c r="C788" s="1" t="s">
        <v>564</v>
      </c>
      <c r="D788" s="1" t="s">
        <v>1491</v>
      </c>
      <c r="E788" s="1" t="s">
        <v>189</v>
      </c>
      <c r="F788" s="1" t="s">
        <v>45</v>
      </c>
      <c r="G788" s="1">
        <v>4</v>
      </c>
      <c r="H788" s="1">
        <v>4688</v>
      </c>
      <c r="I788" s="1">
        <v>18752</v>
      </c>
      <c r="J788" s="1">
        <v>375.04</v>
      </c>
      <c r="K788" s="1">
        <v>0.02</v>
      </c>
      <c r="L788" s="1">
        <v>18376.96</v>
      </c>
      <c r="M788" s="1" t="s">
        <v>18</v>
      </c>
    </row>
    <row r="789" spans="1:13" x14ac:dyDescent="0.35">
      <c r="A789" s="1" t="s">
        <v>1079</v>
      </c>
      <c r="B789" s="2">
        <v>45094</v>
      </c>
      <c r="C789" s="1" t="s">
        <v>467</v>
      </c>
      <c r="D789" s="1" t="s">
        <v>1492</v>
      </c>
      <c r="E789" s="1" t="s">
        <v>29</v>
      </c>
      <c r="F789" s="1" t="s">
        <v>22</v>
      </c>
      <c r="G789" s="1">
        <v>7</v>
      </c>
      <c r="H789" s="1">
        <v>1451</v>
      </c>
      <c r="I789" s="1">
        <v>10157</v>
      </c>
      <c r="J789" s="1">
        <v>1320.41</v>
      </c>
      <c r="K789" s="1">
        <v>0.13</v>
      </c>
      <c r="L789" s="1">
        <v>8836.59</v>
      </c>
      <c r="M789" s="1" t="s">
        <v>18</v>
      </c>
    </row>
    <row r="790" spans="1:13" x14ac:dyDescent="0.35">
      <c r="A790" s="1" t="s">
        <v>1080</v>
      </c>
      <c r="B790" s="2">
        <v>45363</v>
      </c>
      <c r="C790" s="1" t="s">
        <v>630</v>
      </c>
      <c r="D790" s="1" t="s">
        <v>1490</v>
      </c>
      <c r="E790" s="1" t="s">
        <v>29</v>
      </c>
      <c r="F790" s="1" t="s">
        <v>22</v>
      </c>
      <c r="G790" s="1">
        <v>4</v>
      </c>
      <c r="H790" s="1">
        <v>4736</v>
      </c>
      <c r="I790" s="1">
        <v>18944</v>
      </c>
      <c r="J790" s="1">
        <v>3978.24</v>
      </c>
      <c r="K790" s="1">
        <v>0.21</v>
      </c>
      <c r="L790" s="1">
        <v>14965.76</v>
      </c>
      <c r="M790" s="1" t="s">
        <v>18</v>
      </c>
    </row>
    <row r="791" spans="1:13" x14ac:dyDescent="0.35">
      <c r="A791" s="1" t="s">
        <v>1081</v>
      </c>
      <c r="B791" s="2">
        <v>45432</v>
      </c>
      <c r="C791" s="1" t="s">
        <v>582</v>
      </c>
      <c r="D791" s="1" t="s">
        <v>1490</v>
      </c>
      <c r="E791" s="1" t="s">
        <v>57</v>
      </c>
      <c r="F791" s="1" t="s">
        <v>45</v>
      </c>
      <c r="G791" s="1">
        <v>4</v>
      </c>
      <c r="H791" s="1">
        <v>3941</v>
      </c>
      <c r="I791" s="1">
        <v>15764</v>
      </c>
      <c r="J791" s="1">
        <v>3783.3599999999997</v>
      </c>
      <c r="K791" s="1">
        <v>0.24</v>
      </c>
      <c r="L791" s="1">
        <v>11980.64</v>
      </c>
      <c r="M791" s="1" t="s">
        <v>18</v>
      </c>
    </row>
    <row r="792" spans="1:13" x14ac:dyDescent="0.35">
      <c r="A792" s="1" t="s">
        <v>1082</v>
      </c>
      <c r="B792" s="2">
        <v>45264</v>
      </c>
      <c r="C792" s="1" t="s">
        <v>296</v>
      </c>
      <c r="D792" s="1" t="s">
        <v>1491</v>
      </c>
      <c r="E792" s="1" t="s">
        <v>57</v>
      </c>
      <c r="F792" s="1" t="s">
        <v>45</v>
      </c>
      <c r="G792" s="1">
        <v>10</v>
      </c>
      <c r="H792" s="1">
        <v>4980</v>
      </c>
      <c r="I792" s="1">
        <v>49800</v>
      </c>
      <c r="J792" s="1">
        <v>9960</v>
      </c>
      <c r="K792" s="1">
        <v>0.2</v>
      </c>
      <c r="L792" s="1">
        <v>39840</v>
      </c>
      <c r="M792" s="1" t="s">
        <v>18</v>
      </c>
    </row>
    <row r="793" spans="1:13" x14ac:dyDescent="0.35">
      <c r="A793" s="1" t="s">
        <v>1083</v>
      </c>
      <c r="B793" s="2">
        <v>45050</v>
      </c>
      <c r="C793" s="1" t="s">
        <v>223</v>
      </c>
      <c r="D793" s="1" t="s">
        <v>1492</v>
      </c>
      <c r="E793" s="1" t="s">
        <v>48</v>
      </c>
      <c r="F793" s="1" t="s">
        <v>17</v>
      </c>
      <c r="G793" s="1">
        <v>1</v>
      </c>
      <c r="H793" s="1">
        <v>2091</v>
      </c>
      <c r="I793" s="1">
        <v>2091</v>
      </c>
      <c r="J793" s="1">
        <v>564.57000000000005</v>
      </c>
      <c r="K793" s="1">
        <v>0.27</v>
      </c>
      <c r="L793" s="1">
        <v>1526.43</v>
      </c>
      <c r="M793" s="1" t="s">
        <v>18</v>
      </c>
    </row>
    <row r="794" spans="1:13" x14ac:dyDescent="0.35">
      <c r="A794" s="1" t="s">
        <v>1084</v>
      </c>
      <c r="B794" s="2">
        <v>44930</v>
      </c>
      <c r="C794" s="1" t="s">
        <v>196</v>
      </c>
      <c r="D794" s="1" t="s">
        <v>1493</v>
      </c>
      <c r="E794" s="1" t="s">
        <v>32</v>
      </c>
      <c r="F794" s="1" t="s">
        <v>17</v>
      </c>
      <c r="G794" s="1">
        <v>9</v>
      </c>
      <c r="H794" s="1">
        <v>246</v>
      </c>
      <c r="I794" s="1">
        <v>2214</v>
      </c>
      <c r="J794" s="1">
        <v>287.82</v>
      </c>
      <c r="K794" s="1">
        <v>0.13</v>
      </c>
      <c r="L794" s="1">
        <v>1926.18</v>
      </c>
      <c r="M794" s="1" t="s">
        <v>18</v>
      </c>
    </row>
    <row r="795" spans="1:13" x14ac:dyDescent="0.35">
      <c r="A795" s="1" t="s">
        <v>1085</v>
      </c>
      <c r="B795" s="2">
        <v>44944</v>
      </c>
      <c r="C795" s="1" t="s">
        <v>93</v>
      </c>
      <c r="D795" s="1" t="s">
        <v>1492</v>
      </c>
      <c r="E795" s="1" t="s">
        <v>32</v>
      </c>
      <c r="F795" s="1" t="s">
        <v>17</v>
      </c>
      <c r="G795" s="1">
        <v>5</v>
      </c>
      <c r="H795" s="1">
        <v>3652</v>
      </c>
      <c r="I795" s="1">
        <v>18260</v>
      </c>
      <c r="J795" s="1">
        <v>1826</v>
      </c>
      <c r="K795" s="1">
        <v>0.1</v>
      </c>
      <c r="L795" s="1">
        <v>16434</v>
      </c>
      <c r="M795" s="1" t="s">
        <v>18</v>
      </c>
    </row>
    <row r="796" spans="1:13" x14ac:dyDescent="0.35">
      <c r="A796" s="1" t="s">
        <v>1086</v>
      </c>
      <c r="B796" s="2">
        <v>45151</v>
      </c>
      <c r="C796" s="1" t="s">
        <v>14</v>
      </c>
      <c r="D796" s="1" t="s">
        <v>1490</v>
      </c>
      <c r="E796" s="1" t="s">
        <v>44</v>
      </c>
      <c r="F796" s="1" t="s">
        <v>45</v>
      </c>
      <c r="G796" s="1">
        <v>5</v>
      </c>
      <c r="H796" s="1">
        <v>4970</v>
      </c>
      <c r="I796" s="1">
        <v>24850</v>
      </c>
      <c r="J796" s="1">
        <v>745.5</v>
      </c>
      <c r="K796" s="1">
        <v>0.03</v>
      </c>
      <c r="L796" s="1">
        <v>24104.5</v>
      </c>
      <c r="M796" s="1" t="s">
        <v>18</v>
      </c>
    </row>
    <row r="797" spans="1:13" x14ac:dyDescent="0.35">
      <c r="A797" s="1" t="s">
        <v>1087</v>
      </c>
      <c r="B797" s="2">
        <v>45515</v>
      </c>
      <c r="C797" s="1" t="s">
        <v>59</v>
      </c>
      <c r="D797" s="1" t="s">
        <v>1492</v>
      </c>
      <c r="E797" s="1" t="s">
        <v>48</v>
      </c>
      <c r="F797" s="1" t="s">
        <v>17</v>
      </c>
      <c r="G797" s="1">
        <v>5</v>
      </c>
      <c r="H797" s="1">
        <v>977</v>
      </c>
      <c r="I797" s="1">
        <v>4885</v>
      </c>
      <c r="J797" s="1">
        <v>879.3</v>
      </c>
      <c r="K797" s="1">
        <v>0.18</v>
      </c>
      <c r="L797" s="1">
        <v>4005.7</v>
      </c>
      <c r="M797" s="1" t="s">
        <v>18</v>
      </c>
    </row>
    <row r="798" spans="1:13" x14ac:dyDescent="0.35">
      <c r="A798" s="1" t="s">
        <v>1088</v>
      </c>
      <c r="B798" s="2">
        <v>45626</v>
      </c>
      <c r="C798" s="1" t="s">
        <v>440</v>
      </c>
      <c r="D798" s="1" t="s">
        <v>1492</v>
      </c>
      <c r="E798" s="1" t="s">
        <v>16</v>
      </c>
      <c r="F798" s="1" t="s">
        <v>17</v>
      </c>
      <c r="G798" s="1">
        <v>7</v>
      </c>
      <c r="H798" s="1">
        <v>234</v>
      </c>
      <c r="I798" s="1">
        <v>1638</v>
      </c>
      <c r="J798" s="1">
        <v>0</v>
      </c>
      <c r="K798" s="1">
        <v>0</v>
      </c>
      <c r="L798" s="1">
        <v>1638</v>
      </c>
      <c r="M798" s="1" t="s">
        <v>18</v>
      </c>
    </row>
    <row r="799" spans="1:13" x14ac:dyDescent="0.35">
      <c r="A799" s="1" t="s">
        <v>1089</v>
      </c>
      <c r="B799" s="2">
        <v>45183</v>
      </c>
      <c r="C799" s="1" t="s">
        <v>114</v>
      </c>
      <c r="D799" s="1" t="s">
        <v>1490</v>
      </c>
      <c r="E799" s="1" t="s">
        <v>48</v>
      </c>
      <c r="F799" s="1" t="s">
        <v>17</v>
      </c>
      <c r="G799" s="1">
        <v>6</v>
      </c>
      <c r="H799" s="1">
        <v>3272</v>
      </c>
      <c r="I799" s="1">
        <v>19632</v>
      </c>
      <c r="J799" s="1">
        <v>5693.28</v>
      </c>
      <c r="K799" s="1">
        <v>0.28999999999999998</v>
      </c>
      <c r="L799" s="1">
        <v>13938.72</v>
      </c>
      <c r="M799" s="1" t="s">
        <v>18</v>
      </c>
    </row>
    <row r="800" spans="1:13" x14ac:dyDescent="0.35">
      <c r="A800" s="1" t="s">
        <v>1090</v>
      </c>
      <c r="B800" s="2">
        <v>45272</v>
      </c>
      <c r="C800" s="1" t="s">
        <v>493</v>
      </c>
      <c r="D800" s="1" t="s">
        <v>1491</v>
      </c>
      <c r="E800" s="1" t="s">
        <v>48</v>
      </c>
      <c r="F800" s="1" t="s">
        <v>17</v>
      </c>
      <c r="G800" s="1">
        <v>8</v>
      </c>
      <c r="H800" s="1">
        <v>3604</v>
      </c>
      <c r="I800" s="1">
        <v>28832</v>
      </c>
      <c r="J800" s="1">
        <v>1153.28</v>
      </c>
      <c r="K800" s="1">
        <v>0.04</v>
      </c>
      <c r="L800" s="1">
        <v>27678.720000000001</v>
      </c>
      <c r="M800" s="1" t="s">
        <v>18</v>
      </c>
    </row>
    <row r="801" spans="1:13" x14ac:dyDescent="0.35">
      <c r="A801" s="1" t="s">
        <v>1091</v>
      </c>
      <c r="B801" s="2">
        <v>45542</v>
      </c>
      <c r="C801" s="1" t="s">
        <v>611</v>
      </c>
      <c r="D801" s="1" t="s">
        <v>1490</v>
      </c>
      <c r="E801" s="1" t="s">
        <v>44</v>
      </c>
      <c r="F801" s="1" t="s">
        <v>45</v>
      </c>
      <c r="G801" s="1">
        <v>6</v>
      </c>
      <c r="H801" s="1">
        <v>2980</v>
      </c>
      <c r="I801" s="1">
        <v>17880</v>
      </c>
      <c r="J801" s="1">
        <v>1966.8</v>
      </c>
      <c r="K801" s="1">
        <v>0.11</v>
      </c>
      <c r="L801" s="1">
        <v>15913.2</v>
      </c>
      <c r="M801" s="1" t="s">
        <v>18</v>
      </c>
    </row>
    <row r="802" spans="1:13" x14ac:dyDescent="0.35">
      <c r="A802" s="1" t="s">
        <v>1092</v>
      </c>
      <c r="B802" s="2">
        <v>45450</v>
      </c>
      <c r="C802" s="1" t="s">
        <v>218</v>
      </c>
      <c r="D802" s="1" t="s">
        <v>1491</v>
      </c>
      <c r="E802" s="1" t="s">
        <v>16</v>
      </c>
      <c r="F802" s="1" t="s">
        <v>17</v>
      </c>
      <c r="G802" s="1">
        <v>3</v>
      </c>
      <c r="H802" s="1">
        <v>4898</v>
      </c>
      <c r="I802" s="1">
        <v>14694</v>
      </c>
      <c r="J802" s="1">
        <v>1616.34</v>
      </c>
      <c r="K802" s="1">
        <v>0.11</v>
      </c>
      <c r="L802" s="1">
        <v>13077.66</v>
      </c>
      <c r="M802" s="1" t="s">
        <v>18</v>
      </c>
    </row>
    <row r="803" spans="1:13" x14ac:dyDescent="0.35">
      <c r="A803" s="1" t="s">
        <v>1093</v>
      </c>
      <c r="B803" s="2">
        <v>45113</v>
      </c>
      <c r="C803" s="1" t="s">
        <v>101</v>
      </c>
      <c r="D803" s="1" t="s">
        <v>1493</v>
      </c>
      <c r="E803" s="1" t="s">
        <v>39</v>
      </c>
      <c r="F803" s="1" t="s">
        <v>22</v>
      </c>
      <c r="G803" s="1">
        <v>2</v>
      </c>
      <c r="H803" s="1">
        <v>4111</v>
      </c>
      <c r="I803" s="1">
        <v>8222</v>
      </c>
      <c r="J803" s="1">
        <v>657.76</v>
      </c>
      <c r="K803" s="1">
        <v>0.08</v>
      </c>
      <c r="L803" s="1">
        <v>7564.24</v>
      </c>
      <c r="M803" s="1" t="s">
        <v>18</v>
      </c>
    </row>
    <row r="804" spans="1:13" x14ac:dyDescent="0.35">
      <c r="A804" s="1" t="s">
        <v>1094</v>
      </c>
      <c r="B804" s="2">
        <v>45331</v>
      </c>
      <c r="C804" s="1" t="s">
        <v>56</v>
      </c>
      <c r="D804" s="1" t="s">
        <v>1490</v>
      </c>
      <c r="E804" s="1" t="s">
        <v>26</v>
      </c>
      <c r="F804" s="1" t="s">
        <v>17</v>
      </c>
      <c r="G804" s="1">
        <v>3</v>
      </c>
      <c r="H804" s="1">
        <v>3274</v>
      </c>
      <c r="I804" s="1">
        <v>9822</v>
      </c>
      <c r="J804" s="1">
        <v>1276.8600000000001</v>
      </c>
      <c r="K804" s="1">
        <v>0.13</v>
      </c>
      <c r="L804" s="1">
        <v>8545.14</v>
      </c>
      <c r="M804" s="1" t="s">
        <v>18</v>
      </c>
    </row>
    <row r="805" spans="1:13" x14ac:dyDescent="0.35">
      <c r="A805" s="1" t="s">
        <v>1095</v>
      </c>
      <c r="B805" s="2">
        <v>45223</v>
      </c>
      <c r="C805" s="1" t="s">
        <v>142</v>
      </c>
      <c r="D805" s="1" t="s">
        <v>1493</v>
      </c>
      <c r="E805" s="1" t="s">
        <v>48</v>
      </c>
      <c r="F805" s="1" t="s">
        <v>17</v>
      </c>
      <c r="G805" s="1">
        <v>10</v>
      </c>
      <c r="H805" s="1">
        <v>1871</v>
      </c>
      <c r="I805" s="1">
        <v>18710</v>
      </c>
      <c r="J805" s="1">
        <v>1496.8</v>
      </c>
      <c r="K805" s="1">
        <v>0.08</v>
      </c>
      <c r="L805" s="1">
        <v>17213.2</v>
      </c>
      <c r="M805" s="1" t="s">
        <v>18</v>
      </c>
    </row>
    <row r="806" spans="1:13" x14ac:dyDescent="0.35">
      <c r="A806" s="1" t="s">
        <v>1096</v>
      </c>
      <c r="B806" s="2">
        <v>45591</v>
      </c>
      <c r="C806" s="1" t="s">
        <v>28</v>
      </c>
      <c r="D806" s="1" t="s">
        <v>1490</v>
      </c>
      <c r="E806" s="1" t="s">
        <v>181</v>
      </c>
      <c r="F806" s="1" t="s">
        <v>22</v>
      </c>
      <c r="G806" s="1">
        <v>1</v>
      </c>
      <c r="H806" s="1">
        <v>1591</v>
      </c>
      <c r="I806" s="1">
        <v>1591</v>
      </c>
      <c r="J806" s="1">
        <v>190.92</v>
      </c>
      <c r="K806" s="1">
        <v>0.12</v>
      </c>
      <c r="L806" s="1">
        <v>1400.08</v>
      </c>
      <c r="M806" s="1" t="s">
        <v>18</v>
      </c>
    </row>
    <row r="807" spans="1:13" x14ac:dyDescent="0.35">
      <c r="A807" s="1" t="s">
        <v>1097</v>
      </c>
      <c r="B807" s="2">
        <v>45377</v>
      </c>
      <c r="C807" s="1" t="s">
        <v>105</v>
      </c>
      <c r="D807" s="1" t="s">
        <v>1493</v>
      </c>
      <c r="E807" s="1" t="s">
        <v>29</v>
      </c>
      <c r="F807" s="1" t="s">
        <v>22</v>
      </c>
      <c r="G807" s="1">
        <v>5</v>
      </c>
      <c r="H807" s="1">
        <v>2740</v>
      </c>
      <c r="I807" s="1">
        <v>13700</v>
      </c>
      <c r="J807" s="1">
        <v>3014</v>
      </c>
      <c r="K807" s="1">
        <v>0.22</v>
      </c>
      <c r="L807" s="1">
        <v>10686</v>
      </c>
      <c r="M807" s="1" t="s">
        <v>18</v>
      </c>
    </row>
    <row r="808" spans="1:13" x14ac:dyDescent="0.35">
      <c r="A808" s="1" t="s">
        <v>1098</v>
      </c>
      <c r="B808" s="2">
        <v>45118</v>
      </c>
      <c r="C808" s="1" t="s">
        <v>144</v>
      </c>
      <c r="D808" s="1" t="s">
        <v>1493</v>
      </c>
      <c r="E808" s="1" t="s">
        <v>44</v>
      </c>
      <c r="F808" s="1" t="s">
        <v>45</v>
      </c>
      <c r="G808" s="1">
        <v>9</v>
      </c>
      <c r="H808" s="1">
        <v>1852</v>
      </c>
      <c r="I808" s="1">
        <v>16668</v>
      </c>
      <c r="J808" s="1">
        <v>5000.3999999999996</v>
      </c>
      <c r="K808" s="1">
        <v>0.3</v>
      </c>
      <c r="L808" s="1">
        <v>11667.6</v>
      </c>
      <c r="M808" s="1" t="s">
        <v>18</v>
      </c>
    </row>
    <row r="809" spans="1:13" x14ac:dyDescent="0.35">
      <c r="A809" s="1" t="s">
        <v>1099</v>
      </c>
      <c r="B809" s="2">
        <v>45493</v>
      </c>
      <c r="C809" s="1" t="s">
        <v>271</v>
      </c>
      <c r="D809" s="1" t="s">
        <v>1492</v>
      </c>
      <c r="E809" s="1" t="s">
        <v>26</v>
      </c>
      <c r="F809" s="1" t="s">
        <v>17</v>
      </c>
      <c r="G809" s="1">
        <v>3</v>
      </c>
      <c r="H809" s="1">
        <v>3080</v>
      </c>
      <c r="I809" s="1">
        <v>9240</v>
      </c>
      <c r="J809" s="1">
        <v>2032.8</v>
      </c>
      <c r="K809" s="1">
        <v>0.22</v>
      </c>
      <c r="L809" s="1">
        <v>7207.2</v>
      </c>
      <c r="M809" s="1" t="s">
        <v>18</v>
      </c>
    </row>
    <row r="810" spans="1:13" x14ac:dyDescent="0.35">
      <c r="A810" s="1" t="s">
        <v>1100</v>
      </c>
      <c r="B810" s="2">
        <v>45592</v>
      </c>
      <c r="C810" s="1" t="s">
        <v>123</v>
      </c>
      <c r="D810" s="1" t="s">
        <v>1490</v>
      </c>
      <c r="E810" s="1" t="s">
        <v>21</v>
      </c>
      <c r="F810" s="1" t="s">
        <v>22</v>
      </c>
      <c r="G810" s="1">
        <v>5</v>
      </c>
      <c r="H810" s="1">
        <v>2050</v>
      </c>
      <c r="I810" s="1">
        <v>10250</v>
      </c>
      <c r="J810" s="1">
        <v>2870.0000000000005</v>
      </c>
      <c r="K810" s="1">
        <v>0.28000000000000003</v>
      </c>
      <c r="L810" s="1">
        <v>7380</v>
      </c>
      <c r="M810" s="1" t="s">
        <v>18</v>
      </c>
    </row>
    <row r="811" spans="1:13" x14ac:dyDescent="0.35">
      <c r="A811" s="1" t="s">
        <v>1101</v>
      </c>
      <c r="B811" s="2">
        <v>45497</v>
      </c>
      <c r="C811" s="1" t="s">
        <v>89</v>
      </c>
      <c r="D811" s="1" t="s">
        <v>1490</v>
      </c>
      <c r="E811" s="1" t="s">
        <v>16</v>
      </c>
      <c r="F811" s="1" t="s">
        <v>17</v>
      </c>
      <c r="G811" s="1">
        <v>5</v>
      </c>
      <c r="H811" s="1">
        <v>351</v>
      </c>
      <c r="I811" s="1">
        <v>1755</v>
      </c>
      <c r="J811" s="1">
        <v>491.40000000000003</v>
      </c>
      <c r="K811" s="1">
        <v>0.28000000000000003</v>
      </c>
      <c r="L811" s="1">
        <v>1263.5999999999999</v>
      </c>
      <c r="M811" s="1" t="s">
        <v>18</v>
      </c>
    </row>
    <row r="812" spans="1:13" x14ac:dyDescent="0.35">
      <c r="A812" s="1" t="s">
        <v>1102</v>
      </c>
      <c r="B812" s="2">
        <v>45413</v>
      </c>
      <c r="C812" s="1" t="s">
        <v>168</v>
      </c>
      <c r="D812" s="1" t="s">
        <v>1492</v>
      </c>
      <c r="E812" s="1" t="s">
        <v>48</v>
      </c>
      <c r="F812" s="1" t="s">
        <v>17</v>
      </c>
      <c r="G812" s="1">
        <v>1</v>
      </c>
      <c r="H812" s="1">
        <v>3428</v>
      </c>
      <c r="I812" s="1">
        <v>3428</v>
      </c>
      <c r="J812" s="1">
        <v>891.28000000000009</v>
      </c>
      <c r="K812" s="1">
        <v>0.26</v>
      </c>
      <c r="L812" s="1">
        <v>2536.7199999999998</v>
      </c>
      <c r="M812" s="1" t="s">
        <v>18</v>
      </c>
    </row>
    <row r="813" spans="1:13" x14ac:dyDescent="0.35">
      <c r="A813" s="1" t="s">
        <v>1103</v>
      </c>
      <c r="B813" s="2">
        <v>45537</v>
      </c>
      <c r="C813" s="1" t="s">
        <v>638</v>
      </c>
      <c r="D813" s="1" t="s">
        <v>1492</v>
      </c>
      <c r="E813" s="1" t="s">
        <v>189</v>
      </c>
      <c r="F813" s="1" t="s">
        <v>45</v>
      </c>
      <c r="G813" s="1">
        <v>9</v>
      </c>
      <c r="H813" s="1">
        <v>712</v>
      </c>
      <c r="I813" s="1">
        <v>6408</v>
      </c>
      <c r="J813" s="1">
        <v>320.40000000000003</v>
      </c>
      <c r="K813" s="1">
        <v>0.05</v>
      </c>
      <c r="L813" s="1">
        <v>6087.6</v>
      </c>
      <c r="M813" s="1" t="s">
        <v>18</v>
      </c>
    </row>
    <row r="814" spans="1:13" x14ac:dyDescent="0.35">
      <c r="A814" s="1" t="s">
        <v>1104</v>
      </c>
      <c r="B814" s="2">
        <v>45280</v>
      </c>
      <c r="C814" s="1" t="s">
        <v>460</v>
      </c>
      <c r="D814" s="1" t="s">
        <v>1490</v>
      </c>
      <c r="E814" s="1" t="s">
        <v>48</v>
      </c>
      <c r="F814" s="1" t="s">
        <v>17</v>
      </c>
      <c r="G814" s="1">
        <v>9</v>
      </c>
      <c r="H814" s="1">
        <v>4642</v>
      </c>
      <c r="I814" s="1">
        <v>41778</v>
      </c>
      <c r="J814" s="1">
        <v>7102.26</v>
      </c>
      <c r="K814" s="1">
        <v>0.17</v>
      </c>
      <c r="L814" s="1">
        <v>34675.74</v>
      </c>
      <c r="M814" s="1" t="s">
        <v>18</v>
      </c>
    </row>
    <row r="815" spans="1:13" x14ac:dyDescent="0.35">
      <c r="A815" s="1" t="s">
        <v>1105</v>
      </c>
      <c r="B815" s="2">
        <v>45050</v>
      </c>
      <c r="C815" s="1" t="s">
        <v>112</v>
      </c>
      <c r="D815" s="1" t="s">
        <v>1493</v>
      </c>
      <c r="E815" s="1" t="s">
        <v>29</v>
      </c>
      <c r="F815" s="1" t="s">
        <v>22</v>
      </c>
      <c r="G815" s="1">
        <v>1</v>
      </c>
      <c r="H815" s="1">
        <v>2991</v>
      </c>
      <c r="I815" s="1">
        <v>2991</v>
      </c>
      <c r="J815" s="1">
        <v>29.91</v>
      </c>
      <c r="K815" s="1">
        <v>0.01</v>
      </c>
      <c r="L815" s="1">
        <v>2961.09</v>
      </c>
      <c r="M815" s="1" t="s">
        <v>18</v>
      </c>
    </row>
    <row r="816" spans="1:13" x14ac:dyDescent="0.35">
      <c r="A816" s="1" t="s">
        <v>1106</v>
      </c>
      <c r="B816" s="2">
        <v>45600</v>
      </c>
      <c r="C816" s="1" t="s">
        <v>365</v>
      </c>
      <c r="D816" s="1" t="s">
        <v>1493</v>
      </c>
      <c r="E816" s="1" t="s">
        <v>189</v>
      </c>
      <c r="F816" s="1" t="s">
        <v>45</v>
      </c>
      <c r="G816" s="1">
        <v>7</v>
      </c>
      <c r="H816" s="1">
        <v>1954</v>
      </c>
      <c r="I816" s="1">
        <v>13678</v>
      </c>
      <c r="J816" s="1">
        <v>3282.72</v>
      </c>
      <c r="K816" s="1">
        <v>0.24</v>
      </c>
      <c r="L816" s="1">
        <v>10395.280000000001</v>
      </c>
      <c r="M816" s="1" t="s">
        <v>18</v>
      </c>
    </row>
    <row r="817" spans="1:13" x14ac:dyDescent="0.35">
      <c r="A817" s="1" t="s">
        <v>1107</v>
      </c>
      <c r="B817" s="2">
        <v>45442</v>
      </c>
      <c r="C817" s="1" t="s">
        <v>296</v>
      </c>
      <c r="D817" s="1" t="s">
        <v>1491</v>
      </c>
      <c r="E817" s="1" t="s">
        <v>29</v>
      </c>
      <c r="F817" s="1" t="s">
        <v>22</v>
      </c>
      <c r="G817" s="1">
        <v>10</v>
      </c>
      <c r="H817" s="1">
        <v>4848</v>
      </c>
      <c r="I817" s="1">
        <v>48480</v>
      </c>
      <c r="J817" s="1">
        <v>8726.4</v>
      </c>
      <c r="K817" s="1">
        <v>0.18</v>
      </c>
      <c r="L817" s="1">
        <v>39753.599999999999</v>
      </c>
      <c r="M817" s="1" t="s">
        <v>18</v>
      </c>
    </row>
    <row r="818" spans="1:13" x14ac:dyDescent="0.35">
      <c r="A818" s="1" t="s">
        <v>1108</v>
      </c>
      <c r="B818" s="2">
        <v>45514</v>
      </c>
      <c r="C818" s="1" t="s">
        <v>507</v>
      </c>
      <c r="D818" s="1" t="s">
        <v>1490</v>
      </c>
      <c r="E818" s="1" t="s">
        <v>60</v>
      </c>
      <c r="F818" s="1" t="s">
        <v>45</v>
      </c>
      <c r="G818" s="1">
        <v>4</v>
      </c>
      <c r="H818" s="1">
        <v>2661</v>
      </c>
      <c r="I818" s="1">
        <v>10644</v>
      </c>
      <c r="J818" s="1">
        <v>532.20000000000005</v>
      </c>
      <c r="K818" s="1">
        <v>0.05</v>
      </c>
      <c r="L818" s="1">
        <v>10111.799999999999</v>
      </c>
      <c r="M818" s="1" t="s">
        <v>18</v>
      </c>
    </row>
    <row r="819" spans="1:13" x14ac:dyDescent="0.35">
      <c r="A819" s="1" t="s">
        <v>1109</v>
      </c>
      <c r="B819" s="2">
        <v>45423</v>
      </c>
      <c r="C819" s="1" t="s">
        <v>814</v>
      </c>
      <c r="D819" s="1" t="s">
        <v>1493</v>
      </c>
      <c r="E819" s="1" t="s">
        <v>189</v>
      </c>
      <c r="F819" s="1" t="s">
        <v>45</v>
      </c>
      <c r="G819" s="1">
        <v>10</v>
      </c>
      <c r="H819" s="1">
        <v>2328</v>
      </c>
      <c r="I819" s="1">
        <v>23280</v>
      </c>
      <c r="J819" s="1">
        <v>2095.1999999999998</v>
      </c>
      <c r="K819" s="1">
        <v>0.09</v>
      </c>
      <c r="L819" s="1">
        <v>21184.799999999999</v>
      </c>
      <c r="M819" s="1" t="s">
        <v>18</v>
      </c>
    </row>
    <row r="820" spans="1:13" x14ac:dyDescent="0.35">
      <c r="A820" s="1" t="s">
        <v>1110</v>
      </c>
      <c r="B820" s="2">
        <v>45132</v>
      </c>
      <c r="C820" s="1" t="s">
        <v>168</v>
      </c>
      <c r="D820" s="1" t="s">
        <v>1492</v>
      </c>
      <c r="E820" s="1" t="s">
        <v>44</v>
      </c>
      <c r="F820" s="1" t="s">
        <v>45</v>
      </c>
      <c r="G820" s="1">
        <v>3</v>
      </c>
      <c r="H820" s="1">
        <v>1174</v>
      </c>
      <c r="I820" s="1">
        <v>3522</v>
      </c>
      <c r="J820" s="1">
        <v>669.18000000000006</v>
      </c>
      <c r="K820" s="1">
        <v>0.19</v>
      </c>
      <c r="L820" s="1">
        <v>2852.82</v>
      </c>
      <c r="M820" s="1" t="s">
        <v>18</v>
      </c>
    </row>
    <row r="821" spans="1:13" x14ac:dyDescent="0.35">
      <c r="A821" s="1" t="s">
        <v>1111</v>
      </c>
      <c r="B821" s="2">
        <v>45100</v>
      </c>
      <c r="C821" s="1" t="s">
        <v>374</v>
      </c>
      <c r="D821" s="1" t="s">
        <v>1490</v>
      </c>
      <c r="E821" s="1" t="s">
        <v>16</v>
      </c>
      <c r="F821" s="1" t="s">
        <v>17</v>
      </c>
      <c r="G821" s="1">
        <v>2</v>
      </c>
      <c r="H821" s="1">
        <v>3178</v>
      </c>
      <c r="I821" s="1">
        <v>6356</v>
      </c>
      <c r="J821" s="1">
        <v>254.24</v>
      </c>
      <c r="K821" s="1">
        <v>0.04</v>
      </c>
      <c r="L821" s="1">
        <v>6101.76</v>
      </c>
      <c r="M821" s="1" t="s">
        <v>18</v>
      </c>
    </row>
    <row r="822" spans="1:13" x14ac:dyDescent="0.35">
      <c r="A822" s="1" t="s">
        <v>1112</v>
      </c>
      <c r="B822" s="2">
        <v>45335</v>
      </c>
      <c r="C822" s="1" t="s">
        <v>56</v>
      </c>
      <c r="D822" s="1" t="s">
        <v>1490</v>
      </c>
      <c r="E822" s="1" t="s">
        <v>29</v>
      </c>
      <c r="F822" s="1" t="s">
        <v>22</v>
      </c>
      <c r="G822" s="1">
        <v>3</v>
      </c>
      <c r="H822" s="1">
        <v>384</v>
      </c>
      <c r="I822" s="1">
        <v>1152</v>
      </c>
      <c r="J822" s="1">
        <v>288</v>
      </c>
      <c r="K822" s="1">
        <v>0.25</v>
      </c>
      <c r="L822" s="1">
        <v>864</v>
      </c>
      <c r="M822" s="1" t="s">
        <v>18</v>
      </c>
    </row>
    <row r="823" spans="1:13" x14ac:dyDescent="0.35">
      <c r="A823" s="1" t="s">
        <v>1113</v>
      </c>
      <c r="B823" s="2">
        <v>45540</v>
      </c>
      <c r="C823" s="1" t="s">
        <v>185</v>
      </c>
      <c r="D823" s="1" t="s">
        <v>1492</v>
      </c>
      <c r="E823" s="1" t="s">
        <v>57</v>
      </c>
      <c r="F823" s="1" t="s">
        <v>45</v>
      </c>
      <c r="G823" s="1">
        <v>1</v>
      </c>
      <c r="H823" s="1">
        <v>477</v>
      </c>
      <c r="I823" s="1">
        <v>477</v>
      </c>
      <c r="J823" s="1">
        <v>19.080000000000002</v>
      </c>
      <c r="K823" s="1">
        <v>0.04</v>
      </c>
      <c r="L823" s="1">
        <v>457.92</v>
      </c>
      <c r="M823" s="1" t="s">
        <v>18</v>
      </c>
    </row>
    <row r="824" spans="1:13" x14ac:dyDescent="0.35">
      <c r="A824" s="1" t="s">
        <v>1114</v>
      </c>
      <c r="B824" s="2">
        <v>45522</v>
      </c>
      <c r="C824" s="1" t="s">
        <v>489</v>
      </c>
      <c r="D824" s="1" t="s">
        <v>1491</v>
      </c>
      <c r="E824" s="1" t="s">
        <v>26</v>
      </c>
      <c r="F824" s="1" t="s">
        <v>17</v>
      </c>
      <c r="G824" s="1">
        <v>1</v>
      </c>
      <c r="H824" s="1">
        <v>2022</v>
      </c>
      <c r="I824" s="1">
        <v>2022</v>
      </c>
      <c r="J824" s="1">
        <v>202.20000000000002</v>
      </c>
      <c r="K824" s="1">
        <v>0.1</v>
      </c>
      <c r="L824" s="1">
        <v>1819.8</v>
      </c>
      <c r="M824" s="1" t="s">
        <v>18</v>
      </c>
    </row>
    <row r="825" spans="1:13" x14ac:dyDescent="0.35">
      <c r="A825" s="1" t="s">
        <v>1115</v>
      </c>
      <c r="B825" s="2">
        <v>45476</v>
      </c>
      <c r="C825" s="1" t="s">
        <v>334</v>
      </c>
      <c r="D825" s="1" t="s">
        <v>1490</v>
      </c>
      <c r="E825" s="1" t="s">
        <v>29</v>
      </c>
      <c r="F825" s="1" t="s">
        <v>22</v>
      </c>
      <c r="G825" s="1">
        <v>9</v>
      </c>
      <c r="H825" s="1">
        <v>4511</v>
      </c>
      <c r="I825" s="1">
        <v>40599</v>
      </c>
      <c r="J825" s="1">
        <v>9743.76</v>
      </c>
      <c r="K825" s="1">
        <v>0.24</v>
      </c>
      <c r="L825" s="1">
        <v>30855.24</v>
      </c>
      <c r="M825" s="1" t="s">
        <v>18</v>
      </c>
    </row>
    <row r="826" spans="1:13" x14ac:dyDescent="0.35">
      <c r="A826" s="1" t="s">
        <v>1116</v>
      </c>
      <c r="B826" s="2">
        <v>45094</v>
      </c>
      <c r="C826" s="1" t="s">
        <v>235</v>
      </c>
      <c r="D826" s="1" t="s">
        <v>1491</v>
      </c>
      <c r="E826" s="1" t="s">
        <v>48</v>
      </c>
      <c r="F826" s="1" t="s">
        <v>17</v>
      </c>
      <c r="G826" s="1">
        <v>6</v>
      </c>
      <c r="H826" s="1">
        <v>3481</v>
      </c>
      <c r="I826" s="1">
        <v>20886</v>
      </c>
      <c r="J826" s="1">
        <v>2715.1800000000003</v>
      </c>
      <c r="K826" s="1">
        <v>0.13</v>
      </c>
      <c r="L826" s="1">
        <v>18170.82</v>
      </c>
      <c r="M826" s="1" t="s">
        <v>18</v>
      </c>
    </row>
    <row r="827" spans="1:13" x14ac:dyDescent="0.35">
      <c r="A827" s="1" t="s">
        <v>1117</v>
      </c>
      <c r="B827" s="2">
        <v>45302</v>
      </c>
      <c r="C827" s="1" t="s">
        <v>201</v>
      </c>
      <c r="D827" s="1" t="s">
        <v>1490</v>
      </c>
      <c r="E827" s="1" t="s">
        <v>29</v>
      </c>
      <c r="F827" s="1" t="s">
        <v>22</v>
      </c>
      <c r="G827" s="1">
        <v>10</v>
      </c>
      <c r="H827" s="1">
        <v>3105</v>
      </c>
      <c r="I827" s="1">
        <v>31050</v>
      </c>
      <c r="J827" s="1">
        <v>2173.5</v>
      </c>
      <c r="K827" s="1">
        <v>7.0000000000000007E-2</v>
      </c>
      <c r="L827" s="1">
        <v>28876.5</v>
      </c>
      <c r="M827" s="1" t="s">
        <v>18</v>
      </c>
    </row>
    <row r="828" spans="1:13" x14ac:dyDescent="0.35">
      <c r="A828" s="1" t="s">
        <v>1118</v>
      </c>
      <c r="B828" s="2">
        <v>45549</v>
      </c>
      <c r="C828" s="1" t="s">
        <v>241</v>
      </c>
      <c r="D828" s="1" t="s">
        <v>1492</v>
      </c>
      <c r="E828" s="1" t="s">
        <v>189</v>
      </c>
      <c r="F828" s="1" t="s">
        <v>45</v>
      </c>
      <c r="G828" s="1">
        <v>8</v>
      </c>
      <c r="H828" s="1">
        <v>1653</v>
      </c>
      <c r="I828" s="1">
        <v>13224</v>
      </c>
      <c r="J828" s="1">
        <v>3702.7200000000003</v>
      </c>
      <c r="K828" s="1">
        <v>0.28000000000000003</v>
      </c>
      <c r="L828" s="1">
        <v>9521.2800000000007</v>
      </c>
      <c r="M828" s="1" t="s">
        <v>18</v>
      </c>
    </row>
    <row r="829" spans="1:13" x14ac:dyDescent="0.35">
      <c r="A829" s="1" t="s">
        <v>1119</v>
      </c>
      <c r="B829" s="2">
        <v>45010</v>
      </c>
      <c r="C829" s="1" t="s">
        <v>819</v>
      </c>
      <c r="D829" s="1" t="s">
        <v>1490</v>
      </c>
      <c r="E829" s="1" t="s">
        <v>29</v>
      </c>
      <c r="F829" s="1" t="s">
        <v>22</v>
      </c>
      <c r="G829" s="1">
        <v>1</v>
      </c>
      <c r="H829" s="1">
        <v>3338</v>
      </c>
      <c r="I829" s="1">
        <v>3338</v>
      </c>
      <c r="J829" s="1">
        <v>133.52000000000001</v>
      </c>
      <c r="K829" s="1">
        <v>0.04</v>
      </c>
      <c r="L829" s="1">
        <v>3204.48</v>
      </c>
      <c r="M829" s="1" t="s">
        <v>18</v>
      </c>
    </row>
    <row r="830" spans="1:13" x14ac:dyDescent="0.35">
      <c r="A830" s="1" t="s">
        <v>1120</v>
      </c>
      <c r="B830" s="2">
        <v>44978</v>
      </c>
      <c r="C830" s="1" t="s">
        <v>849</v>
      </c>
      <c r="D830" s="1" t="s">
        <v>1492</v>
      </c>
      <c r="E830" s="1" t="s">
        <v>16</v>
      </c>
      <c r="F830" s="1" t="s">
        <v>17</v>
      </c>
      <c r="G830" s="1">
        <v>9</v>
      </c>
      <c r="H830" s="1">
        <v>279</v>
      </c>
      <c r="I830" s="1">
        <v>2511</v>
      </c>
      <c r="J830" s="1">
        <v>251.10000000000002</v>
      </c>
      <c r="K830" s="1">
        <v>0.1</v>
      </c>
      <c r="L830" s="1">
        <v>2259.9</v>
      </c>
      <c r="M830" s="1" t="s">
        <v>18</v>
      </c>
    </row>
    <row r="831" spans="1:13" x14ac:dyDescent="0.35">
      <c r="A831" s="1" t="s">
        <v>1121</v>
      </c>
      <c r="B831" s="2">
        <v>45357</v>
      </c>
      <c r="C831" s="1" t="s">
        <v>694</v>
      </c>
      <c r="D831" s="1" t="s">
        <v>1491</v>
      </c>
      <c r="E831" s="1" t="s">
        <v>26</v>
      </c>
      <c r="F831" s="1" t="s">
        <v>17</v>
      </c>
      <c r="G831" s="1">
        <v>7</v>
      </c>
      <c r="H831" s="1">
        <v>2275</v>
      </c>
      <c r="I831" s="1">
        <v>15925</v>
      </c>
      <c r="J831" s="1">
        <v>3344.25</v>
      </c>
      <c r="K831" s="1">
        <v>0.21</v>
      </c>
      <c r="L831" s="1">
        <v>12580.75</v>
      </c>
      <c r="M831" s="1" t="s">
        <v>18</v>
      </c>
    </row>
    <row r="832" spans="1:13" x14ac:dyDescent="0.35">
      <c r="A832" s="1" t="s">
        <v>1122</v>
      </c>
      <c r="B832" s="2">
        <v>45036</v>
      </c>
      <c r="C832" s="1" t="s">
        <v>296</v>
      </c>
      <c r="D832" s="1" t="s">
        <v>1491</v>
      </c>
      <c r="E832" s="1" t="s">
        <v>32</v>
      </c>
      <c r="F832" s="1" t="s">
        <v>17</v>
      </c>
      <c r="G832" s="1">
        <v>3</v>
      </c>
      <c r="H832" s="1">
        <v>2683</v>
      </c>
      <c r="I832" s="1">
        <v>8049</v>
      </c>
      <c r="J832" s="1">
        <v>1529.31</v>
      </c>
      <c r="K832" s="1">
        <v>0.19</v>
      </c>
      <c r="L832" s="1">
        <v>6519.69</v>
      </c>
      <c r="M832" s="1" t="s">
        <v>18</v>
      </c>
    </row>
    <row r="833" spans="1:13" x14ac:dyDescent="0.35">
      <c r="A833" s="1" t="s">
        <v>1123</v>
      </c>
      <c r="B833" s="2">
        <v>44972</v>
      </c>
      <c r="C833" s="1" t="s">
        <v>489</v>
      </c>
      <c r="D833" s="1" t="s">
        <v>1491</v>
      </c>
      <c r="E833" s="1" t="s">
        <v>57</v>
      </c>
      <c r="F833" s="1" t="s">
        <v>45</v>
      </c>
      <c r="G833" s="1">
        <v>7</v>
      </c>
      <c r="H833" s="1">
        <v>2007</v>
      </c>
      <c r="I833" s="1">
        <v>14049</v>
      </c>
      <c r="J833" s="1">
        <v>561.96</v>
      </c>
      <c r="K833" s="1">
        <v>0.04</v>
      </c>
      <c r="L833" s="1">
        <v>13487.04</v>
      </c>
      <c r="M833" s="1" t="s">
        <v>18</v>
      </c>
    </row>
    <row r="834" spans="1:13" x14ac:dyDescent="0.35">
      <c r="A834" s="1" t="s">
        <v>1124</v>
      </c>
      <c r="B834" s="2">
        <v>45326</v>
      </c>
      <c r="C834" s="1" t="s">
        <v>425</v>
      </c>
      <c r="D834" s="1" t="s">
        <v>1490</v>
      </c>
      <c r="E834" s="1" t="s">
        <v>29</v>
      </c>
      <c r="F834" s="1" t="s">
        <v>22</v>
      </c>
      <c r="G834" s="1">
        <v>9</v>
      </c>
      <c r="H834" s="1">
        <v>4874</v>
      </c>
      <c r="I834" s="1">
        <v>43866</v>
      </c>
      <c r="J834" s="1">
        <v>8773.2000000000007</v>
      </c>
      <c r="K834" s="1">
        <v>0.2</v>
      </c>
      <c r="L834" s="1">
        <v>35092.800000000003</v>
      </c>
      <c r="M834" s="1" t="s">
        <v>18</v>
      </c>
    </row>
    <row r="835" spans="1:13" x14ac:dyDescent="0.35">
      <c r="A835" s="1" t="s">
        <v>1125</v>
      </c>
      <c r="B835" s="2">
        <v>45212</v>
      </c>
      <c r="C835" s="1" t="s">
        <v>50</v>
      </c>
      <c r="D835" s="1" t="s">
        <v>1492</v>
      </c>
      <c r="E835" s="1" t="s">
        <v>57</v>
      </c>
      <c r="F835" s="1" t="s">
        <v>45</v>
      </c>
      <c r="G835" s="1">
        <v>2</v>
      </c>
      <c r="H835" s="1">
        <v>2582</v>
      </c>
      <c r="I835" s="1">
        <v>5164</v>
      </c>
      <c r="J835" s="1">
        <v>1497.56</v>
      </c>
      <c r="K835" s="1">
        <v>0.28999999999999998</v>
      </c>
      <c r="L835" s="1">
        <v>3666.44</v>
      </c>
      <c r="M835" s="1" t="s">
        <v>18</v>
      </c>
    </row>
    <row r="836" spans="1:13" x14ac:dyDescent="0.35">
      <c r="A836" s="1" t="s">
        <v>1126</v>
      </c>
      <c r="B836" s="2">
        <v>45562</v>
      </c>
      <c r="C836" s="1" t="s">
        <v>294</v>
      </c>
      <c r="D836" s="1" t="s">
        <v>1490</v>
      </c>
      <c r="E836" s="1" t="s">
        <v>189</v>
      </c>
      <c r="F836" s="1" t="s">
        <v>45</v>
      </c>
      <c r="G836" s="1">
        <v>4</v>
      </c>
      <c r="H836" s="1">
        <v>1587</v>
      </c>
      <c r="I836" s="1">
        <v>6348</v>
      </c>
      <c r="J836" s="1">
        <v>1142.6399999999999</v>
      </c>
      <c r="K836" s="1">
        <v>0.18</v>
      </c>
      <c r="L836" s="1">
        <v>5205.3599999999997</v>
      </c>
      <c r="M836" s="1" t="s">
        <v>18</v>
      </c>
    </row>
    <row r="837" spans="1:13" x14ac:dyDescent="0.35">
      <c r="A837" s="1" t="s">
        <v>1127</v>
      </c>
      <c r="B837" s="2">
        <v>45214</v>
      </c>
      <c r="C837" s="1" t="s">
        <v>277</v>
      </c>
      <c r="D837" s="1" t="s">
        <v>1490</v>
      </c>
      <c r="E837" s="1" t="s">
        <v>57</v>
      </c>
      <c r="F837" s="1" t="s">
        <v>45</v>
      </c>
      <c r="G837" s="1">
        <v>7</v>
      </c>
      <c r="H837" s="1">
        <v>3176</v>
      </c>
      <c r="I837" s="1">
        <v>22232</v>
      </c>
      <c r="J837" s="1">
        <v>3334.7999999999997</v>
      </c>
      <c r="K837" s="1">
        <v>0.15</v>
      </c>
      <c r="L837" s="1">
        <v>18897.2</v>
      </c>
      <c r="M837" s="1" t="s">
        <v>18</v>
      </c>
    </row>
    <row r="838" spans="1:13" x14ac:dyDescent="0.35">
      <c r="A838" s="1" t="s">
        <v>1128</v>
      </c>
      <c r="B838" s="2">
        <v>45086</v>
      </c>
      <c r="C838" s="1" t="s">
        <v>493</v>
      </c>
      <c r="D838" s="1" t="s">
        <v>1491</v>
      </c>
      <c r="E838" s="1" t="s">
        <v>48</v>
      </c>
      <c r="F838" s="1" t="s">
        <v>17</v>
      </c>
      <c r="G838" s="1">
        <v>6</v>
      </c>
      <c r="H838" s="1">
        <v>2979</v>
      </c>
      <c r="I838" s="1">
        <v>17874</v>
      </c>
      <c r="J838" s="1">
        <v>2859.84</v>
      </c>
      <c r="K838" s="1">
        <v>0.16</v>
      </c>
      <c r="L838" s="1">
        <v>15014.16</v>
      </c>
      <c r="M838" s="1" t="s">
        <v>18</v>
      </c>
    </row>
    <row r="839" spans="1:13" x14ac:dyDescent="0.35">
      <c r="A839" s="1" t="s">
        <v>1129</v>
      </c>
      <c r="B839" s="2">
        <v>45206</v>
      </c>
      <c r="C839" s="1" t="s">
        <v>642</v>
      </c>
      <c r="D839" s="1" t="s">
        <v>1493</v>
      </c>
      <c r="E839" s="1" t="s">
        <v>44</v>
      </c>
      <c r="F839" s="1" t="s">
        <v>45</v>
      </c>
      <c r="G839" s="1">
        <v>1</v>
      </c>
      <c r="H839" s="1">
        <v>1859</v>
      </c>
      <c r="I839" s="1">
        <v>1859</v>
      </c>
      <c r="J839" s="1">
        <v>353.21</v>
      </c>
      <c r="K839" s="1">
        <v>0.19</v>
      </c>
      <c r="L839" s="1">
        <v>1505.79</v>
      </c>
      <c r="M839" s="1" t="s">
        <v>18</v>
      </c>
    </row>
    <row r="840" spans="1:13" x14ac:dyDescent="0.35">
      <c r="A840" s="1" t="s">
        <v>1130</v>
      </c>
      <c r="B840" s="2">
        <v>45450</v>
      </c>
      <c r="C840" s="1" t="s">
        <v>453</v>
      </c>
      <c r="D840" s="1" t="s">
        <v>1490</v>
      </c>
      <c r="E840" s="1" t="s">
        <v>57</v>
      </c>
      <c r="F840" s="1" t="s">
        <v>45</v>
      </c>
      <c r="G840" s="1">
        <v>9</v>
      </c>
      <c r="H840" s="1">
        <v>1375</v>
      </c>
      <c r="I840" s="1">
        <v>12375</v>
      </c>
      <c r="J840" s="1">
        <v>1608.75</v>
      </c>
      <c r="K840" s="1">
        <v>0.13</v>
      </c>
      <c r="L840" s="1">
        <v>10766.25</v>
      </c>
      <c r="M840" s="1" t="s">
        <v>18</v>
      </c>
    </row>
    <row r="841" spans="1:13" x14ac:dyDescent="0.35">
      <c r="A841" s="1" t="s">
        <v>1131</v>
      </c>
      <c r="B841" s="2">
        <v>45533</v>
      </c>
      <c r="C841" s="1" t="s">
        <v>120</v>
      </c>
      <c r="D841" s="1" t="s">
        <v>1490</v>
      </c>
      <c r="E841" s="1" t="s">
        <v>39</v>
      </c>
      <c r="F841" s="1" t="s">
        <v>22</v>
      </c>
      <c r="G841" s="1">
        <v>5</v>
      </c>
      <c r="H841" s="1">
        <v>4953</v>
      </c>
      <c r="I841" s="1">
        <v>24765</v>
      </c>
      <c r="J841" s="1">
        <v>1485.8999999999999</v>
      </c>
      <c r="K841" s="1">
        <v>0.06</v>
      </c>
      <c r="L841" s="1">
        <v>23279.1</v>
      </c>
      <c r="M841" s="1" t="s">
        <v>18</v>
      </c>
    </row>
    <row r="842" spans="1:13" x14ac:dyDescent="0.35">
      <c r="A842" s="1" t="s">
        <v>1132</v>
      </c>
      <c r="B842" s="2">
        <v>44983</v>
      </c>
      <c r="C842" s="1" t="s">
        <v>123</v>
      </c>
      <c r="D842" s="1" t="s">
        <v>1490</v>
      </c>
      <c r="E842" s="1" t="s">
        <v>60</v>
      </c>
      <c r="F842" s="1" t="s">
        <v>45</v>
      </c>
      <c r="G842" s="1">
        <v>9</v>
      </c>
      <c r="H842" s="1">
        <v>562</v>
      </c>
      <c r="I842" s="1">
        <v>5058</v>
      </c>
      <c r="J842" s="1">
        <v>354.06000000000006</v>
      </c>
      <c r="K842" s="1">
        <v>7.0000000000000007E-2</v>
      </c>
      <c r="L842" s="1">
        <v>4703.9399999999996</v>
      </c>
      <c r="M842" s="1" t="s">
        <v>18</v>
      </c>
    </row>
    <row r="843" spans="1:13" x14ac:dyDescent="0.35">
      <c r="A843" s="1" t="s">
        <v>1133</v>
      </c>
      <c r="B843" s="2">
        <v>45280</v>
      </c>
      <c r="C843" s="1" t="s">
        <v>107</v>
      </c>
      <c r="D843" s="1" t="s">
        <v>1490</v>
      </c>
      <c r="E843" s="1" t="s">
        <v>16</v>
      </c>
      <c r="F843" s="1" t="s">
        <v>17</v>
      </c>
      <c r="G843" s="1">
        <v>3</v>
      </c>
      <c r="H843" s="1">
        <v>2592</v>
      </c>
      <c r="I843" s="1">
        <v>7776</v>
      </c>
      <c r="J843" s="1">
        <v>1321.92</v>
      </c>
      <c r="K843" s="1">
        <v>0.17</v>
      </c>
      <c r="L843" s="1">
        <v>6454.08</v>
      </c>
      <c r="M843" s="1" t="s">
        <v>18</v>
      </c>
    </row>
    <row r="844" spans="1:13" x14ac:dyDescent="0.35">
      <c r="A844" s="1" t="s">
        <v>1134</v>
      </c>
      <c r="B844" s="2">
        <v>45562</v>
      </c>
      <c r="C844" s="1" t="s">
        <v>302</v>
      </c>
      <c r="D844" s="1" t="s">
        <v>1491</v>
      </c>
      <c r="E844" s="1" t="s">
        <v>44</v>
      </c>
      <c r="F844" s="1" t="s">
        <v>45</v>
      </c>
      <c r="G844" s="1">
        <v>7</v>
      </c>
      <c r="H844" s="1">
        <v>195</v>
      </c>
      <c r="I844" s="1">
        <v>1365</v>
      </c>
      <c r="J844" s="1">
        <v>382.20000000000005</v>
      </c>
      <c r="K844" s="1">
        <v>0.28000000000000003</v>
      </c>
      <c r="L844" s="1">
        <v>982.8</v>
      </c>
      <c r="M844" s="1" t="s">
        <v>18</v>
      </c>
    </row>
    <row r="845" spans="1:13" x14ac:dyDescent="0.35">
      <c r="A845" s="1" t="s">
        <v>1135</v>
      </c>
      <c r="B845" s="2">
        <v>45339</v>
      </c>
      <c r="C845" s="1" t="s">
        <v>231</v>
      </c>
      <c r="D845" s="1" t="s">
        <v>1491</v>
      </c>
      <c r="E845" s="1" t="s">
        <v>48</v>
      </c>
      <c r="F845" s="1" t="s">
        <v>17</v>
      </c>
      <c r="G845" s="1">
        <v>6</v>
      </c>
      <c r="H845" s="1">
        <v>2948</v>
      </c>
      <c r="I845" s="1">
        <v>17688</v>
      </c>
      <c r="J845" s="1">
        <v>1591.9199999999998</v>
      </c>
      <c r="K845" s="1">
        <v>0.09</v>
      </c>
      <c r="L845" s="1">
        <v>16096.08</v>
      </c>
      <c r="M845" s="1" t="s">
        <v>18</v>
      </c>
    </row>
    <row r="846" spans="1:13" x14ac:dyDescent="0.35">
      <c r="A846" s="1" t="s">
        <v>1136</v>
      </c>
      <c r="B846" s="2">
        <v>45374</v>
      </c>
      <c r="C846" s="1" t="s">
        <v>99</v>
      </c>
      <c r="D846" s="1" t="s">
        <v>1490</v>
      </c>
      <c r="E846" s="1" t="s">
        <v>48</v>
      </c>
      <c r="F846" s="1" t="s">
        <v>17</v>
      </c>
      <c r="G846" s="1">
        <v>8</v>
      </c>
      <c r="H846" s="1">
        <v>4524</v>
      </c>
      <c r="I846" s="1">
        <v>36192</v>
      </c>
      <c r="J846" s="1">
        <v>7238.4000000000005</v>
      </c>
      <c r="K846" s="1">
        <v>0.2</v>
      </c>
      <c r="L846" s="1">
        <v>28953.599999999999</v>
      </c>
      <c r="M846" s="1" t="s">
        <v>18</v>
      </c>
    </row>
    <row r="847" spans="1:13" x14ac:dyDescent="0.35">
      <c r="A847" s="1" t="s">
        <v>1137</v>
      </c>
      <c r="B847" s="2">
        <v>45611</v>
      </c>
      <c r="C847" s="1" t="s">
        <v>445</v>
      </c>
      <c r="D847" s="1" t="s">
        <v>1493</v>
      </c>
      <c r="E847" s="1" t="s">
        <v>39</v>
      </c>
      <c r="F847" s="1" t="s">
        <v>22</v>
      </c>
      <c r="G847" s="1">
        <v>10</v>
      </c>
      <c r="H847" s="1">
        <v>889</v>
      </c>
      <c r="I847" s="1">
        <v>8890</v>
      </c>
      <c r="J847" s="1">
        <v>1422.4</v>
      </c>
      <c r="K847" s="1">
        <v>0.16</v>
      </c>
      <c r="L847" s="1">
        <v>7467.6</v>
      </c>
      <c r="M847" s="1" t="s">
        <v>18</v>
      </c>
    </row>
    <row r="848" spans="1:13" x14ac:dyDescent="0.35">
      <c r="A848" s="1" t="s">
        <v>1138</v>
      </c>
      <c r="B848" s="2">
        <v>45050</v>
      </c>
      <c r="C848" s="1" t="s">
        <v>732</v>
      </c>
      <c r="D848" s="1" t="s">
        <v>1493</v>
      </c>
      <c r="E848" s="1" t="s">
        <v>16</v>
      </c>
      <c r="F848" s="1" t="s">
        <v>17</v>
      </c>
      <c r="G848" s="1">
        <v>1</v>
      </c>
      <c r="H848" s="1">
        <v>3608</v>
      </c>
      <c r="I848" s="1">
        <v>3608</v>
      </c>
      <c r="J848" s="1">
        <v>505.12000000000006</v>
      </c>
      <c r="K848" s="1">
        <v>0.14000000000000001</v>
      </c>
      <c r="L848" s="1">
        <v>3102.88</v>
      </c>
      <c r="M848" s="1" t="s">
        <v>18</v>
      </c>
    </row>
    <row r="849" spans="1:13" x14ac:dyDescent="0.35">
      <c r="A849" s="1" t="s">
        <v>1139</v>
      </c>
      <c r="B849" s="2">
        <v>45039</v>
      </c>
      <c r="C849" s="1" t="s">
        <v>34</v>
      </c>
      <c r="D849" s="1" t="s">
        <v>1491</v>
      </c>
      <c r="E849" s="1" t="s">
        <v>21</v>
      </c>
      <c r="F849" s="1" t="s">
        <v>22</v>
      </c>
      <c r="G849" s="1">
        <v>8</v>
      </c>
      <c r="H849" s="1">
        <v>2829</v>
      </c>
      <c r="I849" s="1">
        <v>22632</v>
      </c>
      <c r="J849" s="1">
        <v>1810.56</v>
      </c>
      <c r="K849" s="1">
        <v>0.08</v>
      </c>
      <c r="L849" s="1">
        <v>20821.439999999999</v>
      </c>
      <c r="M849" s="1" t="s">
        <v>18</v>
      </c>
    </row>
    <row r="850" spans="1:13" x14ac:dyDescent="0.35">
      <c r="A850" s="1" t="s">
        <v>1140</v>
      </c>
      <c r="B850" s="2">
        <v>45083</v>
      </c>
      <c r="C850" s="1" t="s">
        <v>348</v>
      </c>
      <c r="D850" s="1" t="s">
        <v>1492</v>
      </c>
      <c r="E850" s="1" t="s">
        <v>29</v>
      </c>
      <c r="F850" s="1" t="s">
        <v>22</v>
      </c>
      <c r="G850" s="1">
        <v>10</v>
      </c>
      <c r="H850" s="1">
        <v>1845</v>
      </c>
      <c r="I850" s="1">
        <v>18450</v>
      </c>
      <c r="J850" s="1">
        <v>3321</v>
      </c>
      <c r="K850" s="1">
        <v>0.18</v>
      </c>
      <c r="L850" s="1">
        <v>15129</v>
      </c>
      <c r="M850" s="1" t="s">
        <v>18</v>
      </c>
    </row>
    <row r="851" spans="1:13" x14ac:dyDescent="0.35">
      <c r="A851" s="1" t="s">
        <v>1141</v>
      </c>
      <c r="B851" s="2">
        <v>45125</v>
      </c>
      <c r="C851" s="1" t="s">
        <v>99</v>
      </c>
      <c r="D851" s="1" t="s">
        <v>1490</v>
      </c>
      <c r="E851" s="1" t="s">
        <v>32</v>
      </c>
      <c r="F851" s="1" t="s">
        <v>17</v>
      </c>
      <c r="G851" s="1">
        <v>2</v>
      </c>
      <c r="H851" s="1">
        <v>4920</v>
      </c>
      <c r="I851" s="1">
        <v>9840</v>
      </c>
      <c r="J851" s="1">
        <v>2558.4</v>
      </c>
      <c r="K851" s="1">
        <v>0.26</v>
      </c>
      <c r="L851" s="1">
        <v>7281.6</v>
      </c>
      <c r="M851" s="1" t="s">
        <v>18</v>
      </c>
    </row>
    <row r="852" spans="1:13" x14ac:dyDescent="0.35">
      <c r="A852" s="1" t="s">
        <v>1142</v>
      </c>
      <c r="B852" s="2">
        <v>45025</v>
      </c>
      <c r="C852" s="1" t="s">
        <v>89</v>
      </c>
      <c r="D852" s="1" t="s">
        <v>1490</v>
      </c>
      <c r="E852" s="1" t="s">
        <v>44</v>
      </c>
      <c r="F852" s="1" t="s">
        <v>45</v>
      </c>
      <c r="G852" s="1">
        <v>9</v>
      </c>
      <c r="H852" s="1">
        <v>1602</v>
      </c>
      <c r="I852" s="1">
        <v>14418</v>
      </c>
      <c r="J852" s="1">
        <v>2451.0600000000004</v>
      </c>
      <c r="K852" s="1">
        <v>0.17</v>
      </c>
      <c r="L852" s="1">
        <v>11966.94</v>
      </c>
      <c r="M852" s="1" t="s">
        <v>18</v>
      </c>
    </row>
    <row r="853" spans="1:13" x14ac:dyDescent="0.35">
      <c r="A853" s="1" t="s">
        <v>1143</v>
      </c>
      <c r="B853" s="2">
        <v>45039</v>
      </c>
      <c r="C853" s="1" t="s">
        <v>374</v>
      </c>
      <c r="D853" s="1" t="s">
        <v>1490</v>
      </c>
      <c r="E853" s="1" t="s">
        <v>48</v>
      </c>
      <c r="F853" s="1" t="s">
        <v>17</v>
      </c>
      <c r="G853" s="1">
        <v>7</v>
      </c>
      <c r="H853" s="1">
        <v>3385</v>
      </c>
      <c r="I853" s="1">
        <v>23695</v>
      </c>
      <c r="J853" s="1">
        <v>6871.5499999999993</v>
      </c>
      <c r="K853" s="1">
        <v>0.28999999999999998</v>
      </c>
      <c r="L853" s="1">
        <v>16823.45</v>
      </c>
      <c r="M853" s="1" t="s">
        <v>18</v>
      </c>
    </row>
    <row r="854" spans="1:13" x14ac:dyDescent="0.35">
      <c r="A854" s="1" t="s">
        <v>1144</v>
      </c>
      <c r="B854" s="2">
        <v>45409</v>
      </c>
      <c r="C854" s="1" t="s">
        <v>653</v>
      </c>
      <c r="D854" s="1" t="s">
        <v>1491</v>
      </c>
      <c r="E854" s="1" t="s">
        <v>181</v>
      </c>
      <c r="F854" s="1" t="s">
        <v>22</v>
      </c>
      <c r="G854" s="1">
        <v>7</v>
      </c>
      <c r="H854" s="1">
        <v>2672</v>
      </c>
      <c r="I854" s="1">
        <v>18704</v>
      </c>
      <c r="J854" s="1">
        <v>3366.72</v>
      </c>
      <c r="K854" s="1">
        <v>0.18</v>
      </c>
      <c r="L854" s="1">
        <v>15337.28</v>
      </c>
      <c r="M854" s="1" t="s">
        <v>18</v>
      </c>
    </row>
    <row r="855" spans="1:13" x14ac:dyDescent="0.35">
      <c r="A855" s="1" t="s">
        <v>1145</v>
      </c>
      <c r="B855" s="2">
        <v>45162</v>
      </c>
      <c r="C855" s="1" t="s">
        <v>555</v>
      </c>
      <c r="D855" s="1" t="s">
        <v>1490</v>
      </c>
      <c r="E855" s="1" t="s">
        <v>21</v>
      </c>
      <c r="F855" s="1" t="s">
        <v>22</v>
      </c>
      <c r="G855" s="1">
        <v>1</v>
      </c>
      <c r="H855" s="1">
        <v>1895</v>
      </c>
      <c r="I855" s="1">
        <v>1895</v>
      </c>
      <c r="J855" s="1">
        <v>151.6</v>
      </c>
      <c r="K855" s="1">
        <v>0.08</v>
      </c>
      <c r="L855" s="1">
        <v>1743.4</v>
      </c>
      <c r="M855" s="1" t="s">
        <v>18</v>
      </c>
    </row>
    <row r="856" spans="1:13" x14ac:dyDescent="0.35">
      <c r="A856" s="1" t="s">
        <v>1146</v>
      </c>
      <c r="B856" s="2">
        <v>45209</v>
      </c>
      <c r="C856" s="1" t="s">
        <v>14</v>
      </c>
      <c r="D856" s="1" t="s">
        <v>1490</v>
      </c>
      <c r="E856" s="1" t="s">
        <v>29</v>
      </c>
      <c r="F856" s="1" t="s">
        <v>22</v>
      </c>
      <c r="G856" s="1">
        <v>3</v>
      </c>
      <c r="H856" s="1">
        <v>3212</v>
      </c>
      <c r="I856" s="1">
        <v>9636</v>
      </c>
      <c r="J856" s="1">
        <v>578.16</v>
      </c>
      <c r="K856" s="1">
        <v>0.06</v>
      </c>
      <c r="L856" s="1">
        <v>9057.84</v>
      </c>
      <c r="M856" s="1" t="s">
        <v>18</v>
      </c>
    </row>
    <row r="857" spans="1:13" x14ac:dyDescent="0.35">
      <c r="A857" s="1" t="s">
        <v>1147</v>
      </c>
      <c r="B857" s="2">
        <v>45000</v>
      </c>
      <c r="C857" s="1" t="s">
        <v>132</v>
      </c>
      <c r="D857" s="1" t="s">
        <v>1490</v>
      </c>
      <c r="E857" s="1" t="s">
        <v>44</v>
      </c>
      <c r="F857" s="1" t="s">
        <v>45</v>
      </c>
      <c r="G857" s="1">
        <v>6</v>
      </c>
      <c r="H857" s="1">
        <v>770</v>
      </c>
      <c r="I857" s="1">
        <v>4620</v>
      </c>
      <c r="J857" s="1">
        <v>0</v>
      </c>
      <c r="K857" s="1">
        <v>0</v>
      </c>
      <c r="L857" s="1">
        <v>4620</v>
      </c>
      <c r="M857" s="1" t="s">
        <v>18</v>
      </c>
    </row>
    <row r="858" spans="1:13" x14ac:dyDescent="0.35">
      <c r="A858" s="1" t="s">
        <v>1148</v>
      </c>
      <c r="B858" s="2">
        <v>45072</v>
      </c>
      <c r="C858" s="1" t="s">
        <v>191</v>
      </c>
      <c r="D858" s="1" t="s">
        <v>1492</v>
      </c>
      <c r="E858" s="1" t="s">
        <v>189</v>
      </c>
      <c r="F858" s="1" t="s">
        <v>45</v>
      </c>
      <c r="G858" s="1">
        <v>8</v>
      </c>
      <c r="H858" s="1">
        <v>1174</v>
      </c>
      <c r="I858" s="1">
        <v>9392</v>
      </c>
      <c r="J858" s="1">
        <v>1033.1200000000001</v>
      </c>
      <c r="K858" s="1">
        <v>0.11</v>
      </c>
      <c r="L858" s="1">
        <v>8358.8799999999992</v>
      </c>
      <c r="M858" s="1" t="s">
        <v>18</v>
      </c>
    </row>
    <row r="859" spans="1:13" x14ac:dyDescent="0.35">
      <c r="A859" s="1" t="s">
        <v>1149</v>
      </c>
      <c r="B859" s="2">
        <v>44965</v>
      </c>
      <c r="C859" s="1" t="s">
        <v>427</v>
      </c>
      <c r="D859" s="1" t="s">
        <v>1491</v>
      </c>
      <c r="E859" s="1" t="s">
        <v>21</v>
      </c>
      <c r="F859" s="1" t="s">
        <v>22</v>
      </c>
      <c r="G859" s="1">
        <v>2</v>
      </c>
      <c r="H859" s="1">
        <v>1323</v>
      </c>
      <c r="I859" s="1">
        <v>2646</v>
      </c>
      <c r="J859" s="1">
        <v>317.52</v>
      </c>
      <c r="K859" s="1">
        <v>0.12</v>
      </c>
      <c r="L859" s="1">
        <v>2328.48</v>
      </c>
      <c r="M859" s="1" t="s">
        <v>18</v>
      </c>
    </row>
    <row r="860" spans="1:13" x14ac:dyDescent="0.35">
      <c r="A860" s="1" t="s">
        <v>1150</v>
      </c>
      <c r="B860" s="2">
        <v>45228</v>
      </c>
      <c r="C860" s="1" t="s">
        <v>262</v>
      </c>
      <c r="D860" s="1" t="s">
        <v>1490</v>
      </c>
      <c r="E860" s="1" t="s">
        <v>21</v>
      </c>
      <c r="F860" s="1" t="s">
        <v>22</v>
      </c>
      <c r="G860" s="1">
        <v>2</v>
      </c>
      <c r="H860" s="1">
        <v>2638</v>
      </c>
      <c r="I860" s="1">
        <v>5276</v>
      </c>
      <c r="J860" s="1">
        <v>369.32000000000005</v>
      </c>
      <c r="K860" s="1">
        <v>7.0000000000000007E-2</v>
      </c>
      <c r="L860" s="1">
        <v>4906.68</v>
      </c>
      <c r="M860" s="1" t="s">
        <v>18</v>
      </c>
    </row>
    <row r="861" spans="1:13" x14ac:dyDescent="0.35">
      <c r="A861" s="1" t="s">
        <v>1151</v>
      </c>
      <c r="B861" s="2">
        <v>45546</v>
      </c>
      <c r="C861" s="1" t="s">
        <v>344</v>
      </c>
      <c r="D861" s="1" t="s">
        <v>1492</v>
      </c>
      <c r="E861" s="1" t="s">
        <v>44</v>
      </c>
      <c r="F861" s="1" t="s">
        <v>45</v>
      </c>
      <c r="G861" s="1">
        <v>4</v>
      </c>
      <c r="H861" s="1">
        <v>558</v>
      </c>
      <c r="I861" s="1">
        <v>2232</v>
      </c>
      <c r="J861" s="1">
        <v>401.76</v>
      </c>
      <c r="K861" s="1">
        <v>0.18</v>
      </c>
      <c r="L861" s="1">
        <v>1830.24</v>
      </c>
      <c r="M861" s="1" t="s">
        <v>18</v>
      </c>
    </row>
    <row r="862" spans="1:13" x14ac:dyDescent="0.35">
      <c r="A862" s="1" t="s">
        <v>1152</v>
      </c>
      <c r="B862" s="2">
        <v>44928</v>
      </c>
      <c r="C862" s="1" t="s">
        <v>812</v>
      </c>
      <c r="D862" s="1" t="s">
        <v>1490</v>
      </c>
      <c r="E862" s="1" t="s">
        <v>21</v>
      </c>
      <c r="F862" s="1" t="s">
        <v>22</v>
      </c>
      <c r="G862" s="1">
        <v>3</v>
      </c>
      <c r="H862" s="1">
        <v>1655</v>
      </c>
      <c r="I862" s="1">
        <v>4965</v>
      </c>
      <c r="J862" s="1">
        <v>1241.25</v>
      </c>
      <c r="K862" s="1">
        <v>0.25</v>
      </c>
      <c r="L862" s="1">
        <v>3723.75</v>
      </c>
      <c r="M862" s="1" t="s">
        <v>18</v>
      </c>
    </row>
    <row r="863" spans="1:13" x14ac:dyDescent="0.35">
      <c r="A863" s="1" t="s">
        <v>1153</v>
      </c>
      <c r="B863" s="2">
        <v>45457</v>
      </c>
      <c r="C863" s="1" t="s">
        <v>259</v>
      </c>
      <c r="D863" s="1" t="s">
        <v>1491</v>
      </c>
      <c r="E863" s="1" t="s">
        <v>16</v>
      </c>
      <c r="F863" s="1" t="s">
        <v>17</v>
      </c>
      <c r="G863" s="1">
        <v>3</v>
      </c>
      <c r="H863" s="1">
        <v>4805</v>
      </c>
      <c r="I863" s="1">
        <v>14415</v>
      </c>
      <c r="J863" s="1">
        <v>3171.3</v>
      </c>
      <c r="K863" s="1">
        <v>0.22</v>
      </c>
      <c r="L863" s="1">
        <v>11243.7</v>
      </c>
      <c r="M863" s="1" t="s">
        <v>18</v>
      </c>
    </row>
    <row r="864" spans="1:13" x14ac:dyDescent="0.35">
      <c r="A864" s="1" t="s">
        <v>1154</v>
      </c>
      <c r="B864" s="2">
        <v>45389</v>
      </c>
      <c r="C864" s="1" t="s">
        <v>82</v>
      </c>
      <c r="D864" s="1" t="s">
        <v>1490</v>
      </c>
      <c r="E864" s="1" t="s">
        <v>44</v>
      </c>
      <c r="F864" s="1" t="s">
        <v>45</v>
      </c>
      <c r="G864" s="1">
        <v>1</v>
      </c>
      <c r="H864" s="1">
        <v>732</v>
      </c>
      <c r="I864" s="1">
        <v>732</v>
      </c>
      <c r="J864" s="1">
        <v>197.64000000000001</v>
      </c>
      <c r="K864" s="1">
        <v>0.27</v>
      </c>
      <c r="L864" s="1">
        <v>534.36</v>
      </c>
      <c r="M864" s="1" t="s">
        <v>18</v>
      </c>
    </row>
    <row r="865" spans="1:13" x14ac:dyDescent="0.35">
      <c r="A865" s="1" t="s">
        <v>1155</v>
      </c>
      <c r="B865" s="2">
        <v>45339</v>
      </c>
      <c r="C865" s="1" t="s">
        <v>196</v>
      </c>
      <c r="D865" s="1" t="s">
        <v>1493</v>
      </c>
      <c r="E865" s="1" t="s">
        <v>21</v>
      </c>
      <c r="F865" s="1" t="s">
        <v>22</v>
      </c>
      <c r="G865" s="1">
        <v>9</v>
      </c>
      <c r="H865" s="1">
        <v>4816</v>
      </c>
      <c r="I865" s="1">
        <v>43344</v>
      </c>
      <c r="J865" s="1">
        <v>5634.72</v>
      </c>
      <c r="K865" s="1">
        <v>0.13</v>
      </c>
      <c r="L865" s="1">
        <v>37709.279999999999</v>
      </c>
      <c r="M865" s="1" t="s">
        <v>18</v>
      </c>
    </row>
    <row r="866" spans="1:13" x14ac:dyDescent="0.35">
      <c r="A866" s="1" t="s">
        <v>1156</v>
      </c>
      <c r="B866" s="2">
        <v>44988</v>
      </c>
      <c r="C866" s="1" t="s">
        <v>427</v>
      </c>
      <c r="D866" s="1" t="s">
        <v>1491</v>
      </c>
      <c r="E866" s="1" t="s">
        <v>16</v>
      </c>
      <c r="F866" s="1" t="s">
        <v>17</v>
      </c>
      <c r="G866" s="1">
        <v>3</v>
      </c>
      <c r="H866" s="1">
        <v>1319</v>
      </c>
      <c r="I866" s="1">
        <v>3957</v>
      </c>
      <c r="J866" s="1">
        <v>712.26</v>
      </c>
      <c r="K866" s="1">
        <v>0.18</v>
      </c>
      <c r="L866" s="1">
        <v>3244.74</v>
      </c>
      <c r="M866" s="1" t="s">
        <v>18</v>
      </c>
    </row>
    <row r="867" spans="1:13" x14ac:dyDescent="0.35">
      <c r="A867" s="1" t="s">
        <v>1157</v>
      </c>
      <c r="B867" s="2">
        <v>45633</v>
      </c>
      <c r="C867" s="1" t="s">
        <v>363</v>
      </c>
      <c r="D867" s="1" t="s">
        <v>1492</v>
      </c>
      <c r="E867" s="1" t="s">
        <v>16</v>
      </c>
      <c r="F867" s="1" t="s">
        <v>17</v>
      </c>
      <c r="G867" s="1">
        <v>9</v>
      </c>
      <c r="H867" s="1">
        <v>933</v>
      </c>
      <c r="I867" s="1">
        <v>8397</v>
      </c>
      <c r="J867" s="1">
        <v>2015.28</v>
      </c>
      <c r="K867" s="1">
        <v>0.24</v>
      </c>
      <c r="L867" s="1">
        <v>6381.72</v>
      </c>
      <c r="M867" s="1" t="s">
        <v>18</v>
      </c>
    </row>
    <row r="868" spans="1:13" x14ac:dyDescent="0.35">
      <c r="A868" s="1" t="s">
        <v>1158</v>
      </c>
      <c r="B868" s="2">
        <v>45179</v>
      </c>
      <c r="C868" s="1" t="s">
        <v>257</v>
      </c>
      <c r="D868" s="1" t="s">
        <v>1492</v>
      </c>
      <c r="E868" s="1" t="s">
        <v>29</v>
      </c>
      <c r="F868" s="1" t="s">
        <v>22</v>
      </c>
      <c r="G868" s="1">
        <v>8</v>
      </c>
      <c r="H868" s="1">
        <v>2666</v>
      </c>
      <c r="I868" s="1">
        <v>21328</v>
      </c>
      <c r="J868" s="1">
        <v>1492.96</v>
      </c>
      <c r="K868" s="1">
        <v>7.0000000000000007E-2</v>
      </c>
      <c r="L868" s="1">
        <v>19835.04</v>
      </c>
      <c r="M868" s="1" t="s">
        <v>18</v>
      </c>
    </row>
    <row r="869" spans="1:13" x14ac:dyDescent="0.35">
      <c r="A869" s="1" t="s">
        <v>1159</v>
      </c>
      <c r="B869" s="2">
        <v>45243</v>
      </c>
      <c r="C869" s="1" t="s">
        <v>653</v>
      </c>
      <c r="D869" s="1" t="s">
        <v>1491</v>
      </c>
      <c r="E869" s="1" t="s">
        <v>44</v>
      </c>
      <c r="F869" s="1" t="s">
        <v>45</v>
      </c>
      <c r="G869" s="1">
        <v>4</v>
      </c>
      <c r="H869" s="1">
        <v>1859</v>
      </c>
      <c r="I869" s="1">
        <v>7436</v>
      </c>
      <c r="J869" s="1">
        <v>1041.0400000000002</v>
      </c>
      <c r="K869" s="1">
        <v>0.14000000000000001</v>
      </c>
      <c r="L869" s="1">
        <v>6394.96</v>
      </c>
      <c r="M869" s="1" t="s">
        <v>18</v>
      </c>
    </row>
    <row r="870" spans="1:13" x14ac:dyDescent="0.35">
      <c r="A870" s="1" t="s">
        <v>1160</v>
      </c>
      <c r="B870" s="2">
        <v>45486</v>
      </c>
      <c r="C870" s="1" t="s">
        <v>85</v>
      </c>
      <c r="D870" s="1" t="s">
        <v>1492</v>
      </c>
      <c r="E870" s="1" t="s">
        <v>181</v>
      </c>
      <c r="F870" s="1" t="s">
        <v>22</v>
      </c>
      <c r="G870" s="1">
        <v>4</v>
      </c>
      <c r="H870" s="1">
        <v>525</v>
      </c>
      <c r="I870" s="1">
        <v>2100</v>
      </c>
      <c r="J870" s="1">
        <v>336</v>
      </c>
      <c r="K870" s="1">
        <v>0.16</v>
      </c>
      <c r="L870" s="1">
        <v>1764</v>
      </c>
      <c r="M870" s="1" t="s">
        <v>18</v>
      </c>
    </row>
    <row r="871" spans="1:13" x14ac:dyDescent="0.35">
      <c r="A871" s="1" t="s">
        <v>1161</v>
      </c>
      <c r="B871" s="2">
        <v>45350</v>
      </c>
      <c r="C871" s="1" t="s">
        <v>266</v>
      </c>
      <c r="D871" s="1" t="s">
        <v>1490</v>
      </c>
      <c r="E871" s="1" t="s">
        <v>189</v>
      </c>
      <c r="F871" s="1" t="s">
        <v>45</v>
      </c>
      <c r="G871" s="1">
        <v>10</v>
      </c>
      <c r="H871" s="1">
        <v>1480</v>
      </c>
      <c r="I871" s="1">
        <v>14800</v>
      </c>
      <c r="J871" s="1">
        <v>740</v>
      </c>
      <c r="K871" s="1">
        <v>0.05</v>
      </c>
      <c r="L871" s="1">
        <v>14060</v>
      </c>
      <c r="M871" s="1" t="s">
        <v>18</v>
      </c>
    </row>
    <row r="872" spans="1:13" x14ac:dyDescent="0.35">
      <c r="A872" s="1" t="s">
        <v>1162</v>
      </c>
      <c r="B872" s="2">
        <v>45236</v>
      </c>
      <c r="C872" s="1" t="s">
        <v>246</v>
      </c>
      <c r="D872" s="1" t="s">
        <v>1492</v>
      </c>
      <c r="E872" s="1" t="s">
        <v>48</v>
      </c>
      <c r="F872" s="1" t="s">
        <v>17</v>
      </c>
      <c r="G872" s="1">
        <v>1</v>
      </c>
      <c r="H872" s="1">
        <v>1253</v>
      </c>
      <c r="I872" s="1">
        <v>1253</v>
      </c>
      <c r="J872" s="1">
        <v>225.54</v>
      </c>
      <c r="K872" s="1">
        <v>0.18</v>
      </c>
      <c r="L872" s="1">
        <v>1027.46</v>
      </c>
      <c r="M872" s="1" t="s">
        <v>18</v>
      </c>
    </row>
    <row r="873" spans="1:13" x14ac:dyDescent="0.35">
      <c r="A873" s="1" t="s">
        <v>1163</v>
      </c>
      <c r="B873" s="2">
        <v>45374</v>
      </c>
      <c r="C873" s="1" t="s">
        <v>427</v>
      </c>
      <c r="D873" s="1" t="s">
        <v>1491</v>
      </c>
      <c r="E873" s="1" t="s">
        <v>29</v>
      </c>
      <c r="F873" s="1" t="s">
        <v>22</v>
      </c>
      <c r="G873" s="1">
        <v>5</v>
      </c>
      <c r="H873" s="1">
        <v>2577</v>
      </c>
      <c r="I873" s="1">
        <v>12885</v>
      </c>
      <c r="J873" s="1">
        <v>1288.5</v>
      </c>
      <c r="K873" s="1">
        <v>0.1</v>
      </c>
      <c r="L873" s="1">
        <v>11596.5</v>
      </c>
      <c r="M873" s="1" t="s">
        <v>18</v>
      </c>
    </row>
    <row r="874" spans="1:13" x14ac:dyDescent="0.35">
      <c r="A874" s="1" t="s">
        <v>1164</v>
      </c>
      <c r="B874" s="2">
        <v>45102</v>
      </c>
      <c r="C874" s="1" t="s">
        <v>314</v>
      </c>
      <c r="D874" s="1" t="s">
        <v>1492</v>
      </c>
      <c r="E874" s="1" t="s">
        <v>189</v>
      </c>
      <c r="F874" s="1" t="s">
        <v>45</v>
      </c>
      <c r="G874" s="1">
        <v>1</v>
      </c>
      <c r="H874" s="1">
        <v>2078</v>
      </c>
      <c r="I874" s="1">
        <v>2078</v>
      </c>
      <c r="J874" s="1">
        <v>540.28</v>
      </c>
      <c r="K874" s="1">
        <v>0.26</v>
      </c>
      <c r="L874" s="1">
        <v>1537.72</v>
      </c>
      <c r="M874" s="1" t="s">
        <v>18</v>
      </c>
    </row>
    <row r="875" spans="1:13" x14ac:dyDescent="0.35">
      <c r="A875" s="1" t="s">
        <v>1165</v>
      </c>
      <c r="B875" s="2">
        <v>45569</v>
      </c>
      <c r="C875" s="1" t="s">
        <v>56</v>
      </c>
      <c r="D875" s="1" t="s">
        <v>1490</v>
      </c>
      <c r="E875" s="1" t="s">
        <v>32</v>
      </c>
      <c r="F875" s="1" t="s">
        <v>17</v>
      </c>
      <c r="G875" s="1">
        <v>2</v>
      </c>
      <c r="H875" s="1">
        <v>4050</v>
      </c>
      <c r="I875" s="1">
        <v>8100</v>
      </c>
      <c r="J875" s="1">
        <v>972</v>
      </c>
      <c r="K875" s="1">
        <v>0.12</v>
      </c>
      <c r="L875" s="1">
        <v>7128</v>
      </c>
      <c r="M875" s="1" t="s">
        <v>18</v>
      </c>
    </row>
    <row r="876" spans="1:13" x14ac:dyDescent="0.35">
      <c r="A876" s="1" t="s">
        <v>1166</v>
      </c>
      <c r="B876" s="2">
        <v>45632</v>
      </c>
      <c r="C876" s="1" t="s">
        <v>223</v>
      </c>
      <c r="D876" s="1" t="s">
        <v>1492</v>
      </c>
      <c r="E876" s="1" t="s">
        <v>60</v>
      </c>
      <c r="F876" s="1" t="s">
        <v>45</v>
      </c>
      <c r="G876" s="1">
        <v>6</v>
      </c>
      <c r="H876" s="1">
        <v>3262</v>
      </c>
      <c r="I876" s="1">
        <v>19572</v>
      </c>
      <c r="J876" s="1">
        <v>5088.72</v>
      </c>
      <c r="K876" s="1">
        <v>0.26</v>
      </c>
      <c r="L876" s="1">
        <v>14483.28</v>
      </c>
      <c r="M876" s="1" t="s">
        <v>18</v>
      </c>
    </row>
    <row r="877" spans="1:13" x14ac:dyDescent="0.35">
      <c r="A877" s="1" t="s">
        <v>1167</v>
      </c>
      <c r="B877" s="2">
        <v>45574</v>
      </c>
      <c r="C877" s="1" t="s">
        <v>107</v>
      </c>
      <c r="D877" s="1" t="s">
        <v>1490</v>
      </c>
      <c r="E877" s="1" t="s">
        <v>32</v>
      </c>
      <c r="F877" s="1" t="s">
        <v>17</v>
      </c>
      <c r="G877" s="1">
        <v>10</v>
      </c>
      <c r="H877" s="1">
        <v>867</v>
      </c>
      <c r="I877" s="1">
        <v>8670</v>
      </c>
      <c r="J877" s="1">
        <v>2167.5</v>
      </c>
      <c r="K877" s="1">
        <v>0.25</v>
      </c>
      <c r="L877" s="1">
        <v>6502.5</v>
      </c>
      <c r="M877" s="1" t="s">
        <v>18</v>
      </c>
    </row>
    <row r="878" spans="1:13" x14ac:dyDescent="0.35">
      <c r="A878" s="1" t="s">
        <v>1168</v>
      </c>
      <c r="B878" s="2">
        <v>45048</v>
      </c>
      <c r="C878" s="1" t="s">
        <v>352</v>
      </c>
      <c r="D878" s="1" t="s">
        <v>1490</v>
      </c>
      <c r="E878" s="1" t="s">
        <v>32</v>
      </c>
      <c r="F878" s="1" t="s">
        <v>17</v>
      </c>
      <c r="G878" s="1">
        <v>1</v>
      </c>
      <c r="H878" s="1">
        <v>1148</v>
      </c>
      <c r="I878" s="1">
        <v>1148</v>
      </c>
      <c r="J878" s="1">
        <v>34.44</v>
      </c>
      <c r="K878" s="1">
        <v>0.03</v>
      </c>
      <c r="L878" s="1">
        <v>1113.56</v>
      </c>
      <c r="M878" s="1" t="s">
        <v>18</v>
      </c>
    </row>
    <row r="879" spans="1:13" x14ac:dyDescent="0.35">
      <c r="A879" s="1" t="s">
        <v>1169</v>
      </c>
      <c r="B879" s="2">
        <v>45501</v>
      </c>
      <c r="C879" s="1" t="s">
        <v>344</v>
      </c>
      <c r="D879" s="1" t="s">
        <v>1492</v>
      </c>
      <c r="E879" s="1" t="s">
        <v>48</v>
      </c>
      <c r="F879" s="1" t="s">
        <v>17</v>
      </c>
      <c r="G879" s="1">
        <v>6</v>
      </c>
      <c r="H879" s="1">
        <v>3534</v>
      </c>
      <c r="I879" s="1">
        <v>21204</v>
      </c>
      <c r="J879" s="1">
        <v>3816.72</v>
      </c>
      <c r="K879" s="1">
        <v>0.18</v>
      </c>
      <c r="L879" s="1">
        <v>17387.28</v>
      </c>
      <c r="M879" s="1" t="s">
        <v>18</v>
      </c>
    </row>
    <row r="880" spans="1:13" x14ac:dyDescent="0.35">
      <c r="A880" s="1" t="s">
        <v>1170</v>
      </c>
      <c r="B880" s="2">
        <v>45370</v>
      </c>
      <c r="C880" s="1" t="s">
        <v>380</v>
      </c>
      <c r="D880" s="1" t="s">
        <v>1493</v>
      </c>
      <c r="E880" s="1" t="s">
        <v>39</v>
      </c>
      <c r="F880" s="1" t="s">
        <v>22</v>
      </c>
      <c r="G880" s="1">
        <v>2</v>
      </c>
      <c r="H880" s="1">
        <v>959</v>
      </c>
      <c r="I880" s="1">
        <v>1918</v>
      </c>
      <c r="J880" s="1">
        <v>210.98</v>
      </c>
      <c r="K880" s="1">
        <v>0.11</v>
      </c>
      <c r="L880" s="1">
        <v>1707.02</v>
      </c>
      <c r="M880" s="1" t="s">
        <v>18</v>
      </c>
    </row>
    <row r="881" spans="1:13" x14ac:dyDescent="0.35">
      <c r="A881" s="1" t="s">
        <v>1171</v>
      </c>
      <c r="B881" s="2">
        <v>45593</v>
      </c>
      <c r="C881" s="1" t="s">
        <v>658</v>
      </c>
      <c r="D881" s="1" t="s">
        <v>1492</v>
      </c>
      <c r="E881" s="1" t="s">
        <v>60</v>
      </c>
      <c r="F881" s="1" t="s">
        <v>45</v>
      </c>
      <c r="G881" s="1">
        <v>2</v>
      </c>
      <c r="H881" s="1">
        <v>300</v>
      </c>
      <c r="I881" s="1">
        <v>600</v>
      </c>
      <c r="J881" s="1">
        <v>114</v>
      </c>
      <c r="K881" s="1">
        <v>0.19</v>
      </c>
      <c r="L881" s="1">
        <v>486</v>
      </c>
      <c r="M881" s="1" t="s">
        <v>18</v>
      </c>
    </row>
    <row r="882" spans="1:13" x14ac:dyDescent="0.35">
      <c r="A882" s="1" t="s">
        <v>1172</v>
      </c>
      <c r="B882" s="2">
        <v>45334</v>
      </c>
      <c r="C882" s="1" t="s">
        <v>28</v>
      </c>
      <c r="D882" s="1" t="s">
        <v>1490</v>
      </c>
      <c r="E882" s="1" t="s">
        <v>44</v>
      </c>
      <c r="F882" s="1" t="s">
        <v>45</v>
      </c>
      <c r="G882" s="1">
        <v>9</v>
      </c>
      <c r="H882" s="1">
        <v>2062</v>
      </c>
      <c r="I882" s="1">
        <v>18558</v>
      </c>
      <c r="J882" s="1">
        <v>2412.54</v>
      </c>
      <c r="K882" s="1">
        <v>0.13</v>
      </c>
      <c r="L882" s="1">
        <v>16145.46</v>
      </c>
      <c r="M882" s="1" t="s">
        <v>18</v>
      </c>
    </row>
    <row r="883" spans="1:13" x14ac:dyDescent="0.35">
      <c r="A883" s="1" t="s">
        <v>1173</v>
      </c>
      <c r="B883" s="2">
        <v>45476</v>
      </c>
      <c r="C883" s="1" t="s">
        <v>183</v>
      </c>
      <c r="D883" s="1" t="s">
        <v>1490</v>
      </c>
      <c r="E883" s="1" t="s">
        <v>16</v>
      </c>
      <c r="F883" s="1" t="s">
        <v>17</v>
      </c>
      <c r="G883" s="1">
        <v>4</v>
      </c>
      <c r="H883" s="1">
        <v>3116</v>
      </c>
      <c r="I883" s="1">
        <v>12464</v>
      </c>
      <c r="J883" s="1">
        <v>1994.24</v>
      </c>
      <c r="K883" s="1">
        <v>0.16</v>
      </c>
      <c r="L883" s="1">
        <v>10469.76</v>
      </c>
      <c r="M883" s="1" t="s">
        <v>18</v>
      </c>
    </row>
    <row r="884" spans="1:13" x14ac:dyDescent="0.35">
      <c r="A884" s="1" t="s">
        <v>1174</v>
      </c>
      <c r="B884" s="2">
        <v>45035</v>
      </c>
      <c r="C884" s="1" t="s">
        <v>794</v>
      </c>
      <c r="D884" s="1" t="s">
        <v>1491</v>
      </c>
      <c r="E884" s="1" t="s">
        <v>189</v>
      </c>
      <c r="F884" s="1" t="s">
        <v>45</v>
      </c>
      <c r="G884" s="1">
        <v>3</v>
      </c>
      <c r="H884" s="1">
        <v>4894</v>
      </c>
      <c r="I884" s="1">
        <v>14682</v>
      </c>
      <c r="J884" s="1">
        <v>1027.74</v>
      </c>
      <c r="K884" s="1">
        <v>7.0000000000000007E-2</v>
      </c>
      <c r="L884" s="1">
        <v>13654.26</v>
      </c>
      <c r="M884" s="1" t="s">
        <v>18</v>
      </c>
    </row>
    <row r="885" spans="1:13" x14ac:dyDescent="0.35">
      <c r="A885" s="1" t="s">
        <v>1175</v>
      </c>
      <c r="B885" s="2">
        <v>45159</v>
      </c>
      <c r="C885" s="1" t="s">
        <v>178</v>
      </c>
      <c r="D885" s="1" t="s">
        <v>1490</v>
      </c>
      <c r="E885" s="1" t="s">
        <v>39</v>
      </c>
      <c r="F885" s="1" t="s">
        <v>22</v>
      </c>
      <c r="G885" s="1">
        <v>1</v>
      </c>
      <c r="H885" s="1">
        <v>3008</v>
      </c>
      <c r="I885" s="1">
        <v>3008</v>
      </c>
      <c r="J885" s="1">
        <v>360.96</v>
      </c>
      <c r="K885" s="1">
        <v>0.12</v>
      </c>
      <c r="L885" s="1">
        <v>2647.04</v>
      </c>
      <c r="M885" s="1" t="s">
        <v>18</v>
      </c>
    </row>
    <row r="886" spans="1:13" x14ac:dyDescent="0.35">
      <c r="A886" s="1" t="s">
        <v>1176</v>
      </c>
      <c r="B886" s="2">
        <v>45458</v>
      </c>
      <c r="C886" s="1" t="s">
        <v>20</v>
      </c>
      <c r="D886" s="1" t="s">
        <v>1490</v>
      </c>
      <c r="E886" s="1" t="s">
        <v>48</v>
      </c>
      <c r="F886" s="1" t="s">
        <v>17</v>
      </c>
      <c r="G886" s="1">
        <v>6</v>
      </c>
      <c r="H886" s="1">
        <v>3304</v>
      </c>
      <c r="I886" s="1">
        <v>19824</v>
      </c>
      <c r="J886" s="1">
        <v>2973.6</v>
      </c>
      <c r="K886" s="1">
        <v>0.15</v>
      </c>
      <c r="L886" s="1">
        <v>16850.400000000001</v>
      </c>
      <c r="M886" s="1" t="s">
        <v>18</v>
      </c>
    </row>
    <row r="887" spans="1:13" x14ac:dyDescent="0.35">
      <c r="A887" s="1" t="s">
        <v>1177</v>
      </c>
      <c r="B887" s="2">
        <v>45580</v>
      </c>
      <c r="C887" s="1" t="s">
        <v>99</v>
      </c>
      <c r="D887" s="1" t="s">
        <v>1490</v>
      </c>
      <c r="E887" s="1" t="s">
        <v>29</v>
      </c>
      <c r="F887" s="1" t="s">
        <v>22</v>
      </c>
      <c r="G887" s="1">
        <v>9</v>
      </c>
      <c r="H887" s="1">
        <v>1377</v>
      </c>
      <c r="I887" s="1">
        <v>12393</v>
      </c>
      <c r="J887" s="1">
        <v>3098.25</v>
      </c>
      <c r="K887" s="1">
        <v>0.25</v>
      </c>
      <c r="L887" s="1">
        <v>9294.75</v>
      </c>
      <c r="M887" s="1" t="s">
        <v>18</v>
      </c>
    </row>
    <row r="888" spans="1:13" x14ac:dyDescent="0.35">
      <c r="A888" s="1" t="s">
        <v>1178</v>
      </c>
      <c r="B888" s="2">
        <v>45133</v>
      </c>
      <c r="C888" s="1" t="s">
        <v>425</v>
      </c>
      <c r="D888" s="1" t="s">
        <v>1490</v>
      </c>
      <c r="E888" s="1" t="s">
        <v>57</v>
      </c>
      <c r="F888" s="1" t="s">
        <v>45</v>
      </c>
      <c r="G888" s="1">
        <v>8</v>
      </c>
      <c r="H888" s="1">
        <v>4024</v>
      </c>
      <c r="I888" s="1">
        <v>32192</v>
      </c>
      <c r="J888" s="1">
        <v>4828.8</v>
      </c>
      <c r="K888" s="1">
        <v>0.15</v>
      </c>
      <c r="L888" s="1">
        <v>27363.200000000001</v>
      </c>
      <c r="M888" s="1" t="s">
        <v>18</v>
      </c>
    </row>
    <row r="889" spans="1:13" x14ac:dyDescent="0.35">
      <c r="A889" s="1" t="s">
        <v>1179</v>
      </c>
      <c r="B889" s="2">
        <v>45200</v>
      </c>
      <c r="C889" s="1" t="s">
        <v>62</v>
      </c>
      <c r="D889" s="1" t="s">
        <v>1492</v>
      </c>
      <c r="E889" s="1" t="s">
        <v>181</v>
      </c>
      <c r="F889" s="1" t="s">
        <v>22</v>
      </c>
      <c r="G889" s="1">
        <v>10</v>
      </c>
      <c r="H889" s="1">
        <v>1801</v>
      </c>
      <c r="I889" s="1">
        <v>18010</v>
      </c>
      <c r="J889" s="1">
        <v>1080.5999999999999</v>
      </c>
      <c r="K889" s="1">
        <v>0.06</v>
      </c>
      <c r="L889" s="1">
        <v>16929.400000000001</v>
      </c>
      <c r="M889" s="1" t="s">
        <v>18</v>
      </c>
    </row>
    <row r="890" spans="1:13" x14ac:dyDescent="0.35">
      <c r="A890" s="1" t="s">
        <v>1180</v>
      </c>
      <c r="B890" s="2">
        <v>44975</v>
      </c>
      <c r="C890" s="1" t="s">
        <v>188</v>
      </c>
      <c r="D890" s="1" t="s">
        <v>1493</v>
      </c>
      <c r="E890" s="1" t="s">
        <v>29</v>
      </c>
      <c r="F890" s="1" t="s">
        <v>22</v>
      </c>
      <c r="G890" s="1">
        <v>6</v>
      </c>
      <c r="H890" s="1">
        <v>2904</v>
      </c>
      <c r="I890" s="1">
        <v>17424</v>
      </c>
      <c r="J890" s="1">
        <v>2787.84</v>
      </c>
      <c r="K890" s="1">
        <v>0.16</v>
      </c>
      <c r="L890" s="1">
        <v>14636.16</v>
      </c>
      <c r="M890" s="1" t="s">
        <v>18</v>
      </c>
    </row>
    <row r="891" spans="1:13" x14ac:dyDescent="0.35">
      <c r="A891" s="1" t="s">
        <v>1181</v>
      </c>
      <c r="B891" s="2">
        <v>45086</v>
      </c>
      <c r="C891" s="1" t="s">
        <v>214</v>
      </c>
      <c r="D891" s="1" t="s">
        <v>1491</v>
      </c>
      <c r="E891" s="1" t="s">
        <v>57</v>
      </c>
      <c r="F891" s="1" t="s">
        <v>45</v>
      </c>
      <c r="G891" s="1">
        <v>4</v>
      </c>
      <c r="H891" s="1">
        <v>3985</v>
      </c>
      <c r="I891" s="1">
        <v>15940</v>
      </c>
      <c r="J891" s="1">
        <v>4782</v>
      </c>
      <c r="K891" s="1">
        <v>0.3</v>
      </c>
      <c r="L891" s="1">
        <v>11158</v>
      </c>
      <c r="M891" s="1" t="s">
        <v>18</v>
      </c>
    </row>
    <row r="892" spans="1:13" x14ac:dyDescent="0.35">
      <c r="A892" s="1" t="s">
        <v>1182</v>
      </c>
      <c r="B892" s="2">
        <v>45182</v>
      </c>
      <c r="C892" s="1" t="s">
        <v>105</v>
      </c>
      <c r="D892" s="1" t="s">
        <v>1493</v>
      </c>
      <c r="E892" s="1" t="s">
        <v>16</v>
      </c>
      <c r="F892" s="1" t="s">
        <v>17</v>
      </c>
      <c r="G892" s="1">
        <v>1</v>
      </c>
      <c r="H892" s="1">
        <v>4464</v>
      </c>
      <c r="I892" s="1">
        <v>4464</v>
      </c>
      <c r="J892" s="1">
        <v>357.12</v>
      </c>
      <c r="K892" s="1">
        <v>0.08</v>
      </c>
      <c r="L892" s="1">
        <v>4106.88</v>
      </c>
      <c r="M892" s="1" t="s">
        <v>18</v>
      </c>
    </row>
    <row r="893" spans="1:13" x14ac:dyDescent="0.35">
      <c r="A893" s="1" t="s">
        <v>1183</v>
      </c>
      <c r="B893" s="2">
        <v>45398</v>
      </c>
      <c r="C893" s="1" t="s">
        <v>31</v>
      </c>
      <c r="D893" s="1" t="s">
        <v>1492</v>
      </c>
      <c r="E893" s="1" t="s">
        <v>44</v>
      </c>
      <c r="F893" s="1" t="s">
        <v>45</v>
      </c>
      <c r="G893" s="1">
        <v>4</v>
      </c>
      <c r="H893" s="1">
        <v>3140</v>
      </c>
      <c r="I893" s="1">
        <v>12560</v>
      </c>
      <c r="J893" s="1">
        <v>2512</v>
      </c>
      <c r="K893" s="1">
        <v>0.2</v>
      </c>
      <c r="L893" s="1">
        <v>10048</v>
      </c>
      <c r="M893" s="1" t="s">
        <v>18</v>
      </c>
    </row>
    <row r="894" spans="1:13" x14ac:dyDescent="0.35">
      <c r="A894" s="1" t="s">
        <v>1184</v>
      </c>
      <c r="B894" s="2">
        <v>45123</v>
      </c>
      <c r="C894" s="1" t="s">
        <v>409</v>
      </c>
      <c r="D894" s="1" t="s">
        <v>1491</v>
      </c>
      <c r="E894" s="1" t="s">
        <v>26</v>
      </c>
      <c r="F894" s="1" t="s">
        <v>17</v>
      </c>
      <c r="G894" s="1">
        <v>1</v>
      </c>
      <c r="H894" s="1">
        <v>2586</v>
      </c>
      <c r="I894" s="1">
        <v>2586</v>
      </c>
      <c r="J894" s="1">
        <v>387.9</v>
      </c>
      <c r="K894" s="1">
        <v>0.15</v>
      </c>
      <c r="L894" s="1">
        <v>2198.1</v>
      </c>
      <c r="M894" s="1" t="s">
        <v>18</v>
      </c>
    </row>
    <row r="895" spans="1:13" x14ac:dyDescent="0.35">
      <c r="A895" s="1" t="s">
        <v>1185</v>
      </c>
      <c r="B895" s="2">
        <v>44962</v>
      </c>
      <c r="C895" s="1" t="s">
        <v>128</v>
      </c>
      <c r="D895" s="1" t="s">
        <v>1490</v>
      </c>
      <c r="E895" s="1" t="s">
        <v>57</v>
      </c>
      <c r="F895" s="1" t="s">
        <v>45</v>
      </c>
      <c r="G895" s="1">
        <v>3</v>
      </c>
      <c r="H895" s="1">
        <v>1660</v>
      </c>
      <c r="I895" s="1">
        <v>4980</v>
      </c>
      <c r="J895" s="1">
        <v>1095.5999999999999</v>
      </c>
      <c r="K895" s="1">
        <v>0.22</v>
      </c>
      <c r="L895" s="1">
        <v>3884.4</v>
      </c>
      <c r="M895" s="1" t="s">
        <v>18</v>
      </c>
    </row>
    <row r="896" spans="1:13" x14ac:dyDescent="0.35">
      <c r="A896" s="1" t="s">
        <v>1186</v>
      </c>
      <c r="B896" s="2">
        <v>45459</v>
      </c>
      <c r="C896" s="1" t="s">
        <v>152</v>
      </c>
      <c r="D896" s="1" t="s">
        <v>1493</v>
      </c>
      <c r="E896" s="1" t="s">
        <v>48</v>
      </c>
      <c r="F896" s="1" t="s">
        <v>17</v>
      </c>
      <c r="G896" s="1">
        <v>1</v>
      </c>
      <c r="H896" s="1">
        <v>521</v>
      </c>
      <c r="I896" s="1">
        <v>521</v>
      </c>
      <c r="J896" s="1">
        <v>104.2</v>
      </c>
      <c r="K896" s="1">
        <v>0.2</v>
      </c>
      <c r="L896" s="1">
        <v>416.8</v>
      </c>
      <c r="M896" s="1" t="s">
        <v>18</v>
      </c>
    </row>
    <row r="897" spans="1:13" x14ac:dyDescent="0.35">
      <c r="A897" s="1" t="s">
        <v>1187</v>
      </c>
      <c r="B897" s="2">
        <v>45384</v>
      </c>
      <c r="C897" s="1" t="s">
        <v>608</v>
      </c>
      <c r="D897" s="1" t="s">
        <v>1493</v>
      </c>
      <c r="E897" s="1" t="s">
        <v>29</v>
      </c>
      <c r="F897" s="1" t="s">
        <v>22</v>
      </c>
      <c r="G897" s="1">
        <v>10</v>
      </c>
      <c r="H897" s="1">
        <v>3965</v>
      </c>
      <c r="I897" s="1">
        <v>39650</v>
      </c>
      <c r="J897" s="1">
        <v>4758</v>
      </c>
      <c r="K897" s="1">
        <v>0.12</v>
      </c>
      <c r="L897" s="1">
        <v>34892</v>
      </c>
      <c r="M897" s="1" t="s">
        <v>18</v>
      </c>
    </row>
    <row r="898" spans="1:13" x14ac:dyDescent="0.35">
      <c r="A898" s="1" t="s">
        <v>1188</v>
      </c>
      <c r="B898" s="2">
        <v>45419</v>
      </c>
      <c r="C898" s="1" t="s">
        <v>257</v>
      </c>
      <c r="D898" s="1" t="s">
        <v>1492</v>
      </c>
      <c r="E898" s="1" t="s">
        <v>16</v>
      </c>
      <c r="F898" s="1" t="s">
        <v>17</v>
      </c>
      <c r="G898" s="1">
        <v>4</v>
      </c>
      <c r="H898" s="1">
        <v>306</v>
      </c>
      <c r="I898" s="1">
        <v>1224</v>
      </c>
      <c r="J898" s="1">
        <v>269.28000000000003</v>
      </c>
      <c r="K898" s="1">
        <v>0.22</v>
      </c>
      <c r="L898" s="1">
        <v>954.72</v>
      </c>
      <c r="M898" s="1" t="s">
        <v>18</v>
      </c>
    </row>
    <row r="899" spans="1:13" x14ac:dyDescent="0.35">
      <c r="A899" s="1" t="s">
        <v>1189</v>
      </c>
      <c r="B899" s="2">
        <v>45015</v>
      </c>
      <c r="C899" s="1" t="s">
        <v>282</v>
      </c>
      <c r="D899" s="1" t="s">
        <v>1492</v>
      </c>
      <c r="E899" s="1" t="s">
        <v>29</v>
      </c>
      <c r="F899" s="1" t="s">
        <v>22</v>
      </c>
      <c r="G899" s="1">
        <v>4</v>
      </c>
      <c r="H899" s="1">
        <v>1788</v>
      </c>
      <c r="I899" s="1">
        <v>7152</v>
      </c>
      <c r="J899" s="1">
        <v>1215.8400000000001</v>
      </c>
      <c r="K899" s="1">
        <v>0.17</v>
      </c>
      <c r="L899" s="1">
        <v>5936.16</v>
      </c>
      <c r="M899" s="1" t="s">
        <v>18</v>
      </c>
    </row>
    <row r="900" spans="1:13" x14ac:dyDescent="0.35">
      <c r="A900" s="1" t="s">
        <v>1190</v>
      </c>
      <c r="B900" s="2">
        <v>45333</v>
      </c>
      <c r="C900" s="1" t="s">
        <v>326</v>
      </c>
      <c r="D900" s="1" t="s">
        <v>1492</v>
      </c>
      <c r="E900" s="1" t="s">
        <v>60</v>
      </c>
      <c r="F900" s="1" t="s">
        <v>45</v>
      </c>
      <c r="G900" s="1">
        <v>4</v>
      </c>
      <c r="H900" s="1">
        <v>4526</v>
      </c>
      <c r="I900" s="1">
        <v>18104</v>
      </c>
      <c r="J900" s="1">
        <v>4707.04</v>
      </c>
      <c r="K900" s="1">
        <v>0.26</v>
      </c>
      <c r="L900" s="1">
        <v>13396.96</v>
      </c>
      <c r="M900" s="1" t="s">
        <v>18</v>
      </c>
    </row>
    <row r="901" spans="1:13" x14ac:dyDescent="0.35">
      <c r="A901" s="1" t="s">
        <v>1191</v>
      </c>
      <c r="B901" s="2">
        <v>45138</v>
      </c>
      <c r="C901" s="1" t="s">
        <v>136</v>
      </c>
      <c r="D901" s="1" t="s">
        <v>1490</v>
      </c>
      <c r="E901" s="1" t="s">
        <v>16</v>
      </c>
      <c r="F901" s="1" t="s">
        <v>17</v>
      </c>
      <c r="G901" s="1">
        <v>9</v>
      </c>
      <c r="H901" s="1">
        <v>2736</v>
      </c>
      <c r="I901" s="1">
        <v>24624</v>
      </c>
      <c r="J901" s="1">
        <v>6402.24</v>
      </c>
      <c r="K901" s="1">
        <v>0.26</v>
      </c>
      <c r="L901" s="1">
        <v>18221.759999999998</v>
      </c>
      <c r="M901" s="1" t="s">
        <v>18</v>
      </c>
    </row>
    <row r="902" spans="1:13" x14ac:dyDescent="0.35">
      <c r="A902" s="1" t="s">
        <v>1192</v>
      </c>
      <c r="B902" s="2">
        <v>45424</v>
      </c>
      <c r="C902" s="1" t="s">
        <v>317</v>
      </c>
      <c r="D902" s="1" t="s">
        <v>1490</v>
      </c>
      <c r="E902" s="1" t="s">
        <v>26</v>
      </c>
      <c r="F902" s="1" t="s">
        <v>17</v>
      </c>
      <c r="G902" s="1">
        <v>6</v>
      </c>
      <c r="H902" s="1">
        <v>2774</v>
      </c>
      <c r="I902" s="1">
        <v>16644</v>
      </c>
      <c r="J902" s="1">
        <v>1830.84</v>
      </c>
      <c r="K902" s="1">
        <v>0.11</v>
      </c>
      <c r="L902" s="1">
        <v>14813.16</v>
      </c>
      <c r="M902" s="1" t="s">
        <v>18</v>
      </c>
    </row>
    <row r="903" spans="1:13" x14ac:dyDescent="0.35">
      <c r="A903" s="1" t="s">
        <v>1193</v>
      </c>
      <c r="B903" s="2">
        <v>45048</v>
      </c>
      <c r="C903" s="1" t="s">
        <v>597</v>
      </c>
      <c r="D903" s="1" t="s">
        <v>1492</v>
      </c>
      <c r="E903" s="1" t="s">
        <v>26</v>
      </c>
      <c r="F903" s="1" t="s">
        <v>17</v>
      </c>
      <c r="G903" s="1">
        <v>4</v>
      </c>
      <c r="H903" s="1">
        <v>510</v>
      </c>
      <c r="I903" s="1">
        <v>2040</v>
      </c>
      <c r="J903" s="1">
        <v>306</v>
      </c>
      <c r="K903" s="1">
        <v>0.15</v>
      </c>
      <c r="L903" s="1">
        <v>1734</v>
      </c>
      <c r="M903" s="1" t="s">
        <v>18</v>
      </c>
    </row>
    <row r="904" spans="1:13" x14ac:dyDescent="0.35">
      <c r="A904" s="1" t="s">
        <v>1194</v>
      </c>
      <c r="B904" s="2">
        <v>45367</v>
      </c>
      <c r="C904" s="1" t="s">
        <v>302</v>
      </c>
      <c r="D904" s="1" t="s">
        <v>1491</v>
      </c>
      <c r="E904" s="1" t="s">
        <v>26</v>
      </c>
      <c r="F904" s="1" t="s">
        <v>17</v>
      </c>
      <c r="G904" s="1">
        <v>6</v>
      </c>
      <c r="H904" s="1">
        <v>486</v>
      </c>
      <c r="I904" s="1">
        <v>2916</v>
      </c>
      <c r="J904" s="1">
        <v>612.36</v>
      </c>
      <c r="K904" s="1">
        <v>0.21</v>
      </c>
      <c r="L904" s="1">
        <v>2303.64</v>
      </c>
      <c r="M904" s="1" t="s">
        <v>18</v>
      </c>
    </row>
    <row r="905" spans="1:13" x14ac:dyDescent="0.35">
      <c r="A905" s="1" t="s">
        <v>1195</v>
      </c>
      <c r="B905" s="2">
        <v>44935</v>
      </c>
      <c r="C905" s="1" t="s">
        <v>453</v>
      </c>
      <c r="D905" s="1" t="s">
        <v>1490</v>
      </c>
      <c r="E905" s="1" t="s">
        <v>16</v>
      </c>
      <c r="F905" s="1" t="s">
        <v>17</v>
      </c>
      <c r="G905" s="1">
        <v>7</v>
      </c>
      <c r="H905" s="1">
        <v>1297</v>
      </c>
      <c r="I905" s="1">
        <v>9079</v>
      </c>
      <c r="J905" s="1">
        <v>2178.96</v>
      </c>
      <c r="K905" s="1">
        <v>0.24</v>
      </c>
      <c r="L905" s="1">
        <v>6900.04</v>
      </c>
      <c r="M905" s="1" t="s">
        <v>18</v>
      </c>
    </row>
    <row r="906" spans="1:13" x14ac:dyDescent="0.35">
      <c r="A906" s="1" t="s">
        <v>1196</v>
      </c>
      <c r="B906" s="2">
        <v>45341</v>
      </c>
      <c r="C906" s="1" t="s">
        <v>544</v>
      </c>
      <c r="D906" s="1" t="s">
        <v>1490</v>
      </c>
      <c r="E906" s="1" t="s">
        <v>44</v>
      </c>
      <c r="F906" s="1" t="s">
        <v>45</v>
      </c>
      <c r="G906" s="1">
        <v>10</v>
      </c>
      <c r="H906" s="1">
        <v>4725</v>
      </c>
      <c r="I906" s="1">
        <v>47250</v>
      </c>
      <c r="J906" s="1">
        <v>13702.499999999998</v>
      </c>
      <c r="K906" s="1">
        <v>0.28999999999999998</v>
      </c>
      <c r="L906" s="1">
        <v>33547.5</v>
      </c>
      <c r="M906" s="1" t="s">
        <v>18</v>
      </c>
    </row>
    <row r="907" spans="1:13" x14ac:dyDescent="0.35">
      <c r="A907" s="1" t="s">
        <v>1197</v>
      </c>
      <c r="B907" s="2">
        <v>44962</v>
      </c>
      <c r="C907" s="1" t="s">
        <v>125</v>
      </c>
      <c r="D907" s="1" t="s">
        <v>1492</v>
      </c>
      <c r="E907" s="1" t="s">
        <v>21</v>
      </c>
      <c r="F907" s="1" t="s">
        <v>22</v>
      </c>
      <c r="G907" s="1">
        <v>9</v>
      </c>
      <c r="H907" s="1">
        <v>4626</v>
      </c>
      <c r="I907" s="1">
        <v>41634</v>
      </c>
      <c r="J907" s="1">
        <v>11241.18</v>
      </c>
      <c r="K907" s="1">
        <v>0.27</v>
      </c>
      <c r="L907" s="1">
        <v>30392.82</v>
      </c>
      <c r="M907" s="1" t="s">
        <v>18</v>
      </c>
    </row>
    <row r="908" spans="1:13" x14ac:dyDescent="0.35">
      <c r="A908" s="1" t="s">
        <v>1198</v>
      </c>
      <c r="B908" s="2">
        <v>45251</v>
      </c>
      <c r="C908" s="1" t="s">
        <v>819</v>
      </c>
      <c r="D908" s="1" t="s">
        <v>1490</v>
      </c>
      <c r="E908" s="1" t="s">
        <v>60</v>
      </c>
      <c r="F908" s="1" t="s">
        <v>45</v>
      </c>
      <c r="G908" s="1">
        <v>8</v>
      </c>
      <c r="H908" s="1">
        <v>1446</v>
      </c>
      <c r="I908" s="1">
        <v>11568</v>
      </c>
      <c r="J908" s="1">
        <v>1619.5200000000002</v>
      </c>
      <c r="K908" s="1">
        <v>0.14000000000000001</v>
      </c>
      <c r="L908" s="1">
        <v>9948.48</v>
      </c>
      <c r="M908" s="1" t="s">
        <v>18</v>
      </c>
    </row>
    <row r="909" spans="1:13" x14ac:dyDescent="0.35">
      <c r="A909" s="1" t="s">
        <v>1199</v>
      </c>
      <c r="B909" s="2">
        <v>45284</v>
      </c>
      <c r="C909" s="1" t="s">
        <v>150</v>
      </c>
      <c r="D909" s="1" t="s">
        <v>1490</v>
      </c>
      <c r="E909" s="1" t="s">
        <v>16</v>
      </c>
      <c r="F909" s="1" t="s">
        <v>17</v>
      </c>
      <c r="G909" s="1">
        <v>6</v>
      </c>
      <c r="H909" s="1">
        <v>4963</v>
      </c>
      <c r="I909" s="1">
        <v>29778</v>
      </c>
      <c r="J909" s="1">
        <v>5062.26</v>
      </c>
      <c r="K909" s="1">
        <v>0.17</v>
      </c>
      <c r="L909" s="1">
        <v>24715.74</v>
      </c>
      <c r="M909" s="1" t="s">
        <v>18</v>
      </c>
    </row>
    <row r="910" spans="1:13" x14ac:dyDescent="0.35">
      <c r="A910" s="1" t="s">
        <v>1200</v>
      </c>
      <c r="B910" s="2">
        <v>44967</v>
      </c>
      <c r="C910" s="1" t="s">
        <v>296</v>
      </c>
      <c r="D910" s="1" t="s">
        <v>1491</v>
      </c>
      <c r="E910" s="1" t="s">
        <v>189</v>
      </c>
      <c r="F910" s="1" t="s">
        <v>45</v>
      </c>
      <c r="G910" s="1">
        <v>8</v>
      </c>
      <c r="H910" s="1">
        <v>1186</v>
      </c>
      <c r="I910" s="1">
        <v>9488</v>
      </c>
      <c r="J910" s="1">
        <v>2561.7600000000002</v>
      </c>
      <c r="K910" s="1">
        <v>0.27</v>
      </c>
      <c r="L910" s="1">
        <v>6926.24</v>
      </c>
      <c r="M910" s="1" t="s">
        <v>18</v>
      </c>
    </row>
    <row r="911" spans="1:13" x14ac:dyDescent="0.35">
      <c r="A911" s="1" t="s">
        <v>1201</v>
      </c>
      <c r="B911" s="2">
        <v>45327</v>
      </c>
      <c r="C911" s="1" t="s">
        <v>330</v>
      </c>
      <c r="D911" s="1" t="s">
        <v>1490</v>
      </c>
      <c r="E911" s="1" t="s">
        <v>29</v>
      </c>
      <c r="F911" s="1" t="s">
        <v>22</v>
      </c>
      <c r="G911" s="1">
        <v>8</v>
      </c>
      <c r="H911" s="1">
        <v>2714</v>
      </c>
      <c r="I911" s="1">
        <v>21712</v>
      </c>
      <c r="J911" s="1">
        <v>1954.08</v>
      </c>
      <c r="K911" s="1">
        <v>0.09</v>
      </c>
      <c r="L911" s="1">
        <v>19757.919999999998</v>
      </c>
      <c r="M911" s="1" t="s">
        <v>18</v>
      </c>
    </row>
    <row r="912" spans="1:13" x14ac:dyDescent="0.35">
      <c r="A912" s="1" t="s">
        <v>1202</v>
      </c>
      <c r="B912" s="2">
        <v>45252</v>
      </c>
      <c r="C912" s="1" t="s">
        <v>323</v>
      </c>
      <c r="D912" s="1" t="s">
        <v>1493</v>
      </c>
      <c r="E912" s="1" t="s">
        <v>48</v>
      </c>
      <c r="F912" s="1" t="s">
        <v>17</v>
      </c>
      <c r="G912" s="1">
        <v>5</v>
      </c>
      <c r="H912" s="1">
        <v>244</v>
      </c>
      <c r="I912" s="1">
        <v>1220</v>
      </c>
      <c r="J912" s="1">
        <v>207.4</v>
      </c>
      <c r="K912" s="1">
        <v>0.17</v>
      </c>
      <c r="L912" s="1">
        <v>1012.6</v>
      </c>
      <c r="M912" s="1" t="s">
        <v>18</v>
      </c>
    </row>
    <row r="913" spans="1:13" x14ac:dyDescent="0.35">
      <c r="A913" s="1" t="s">
        <v>1203</v>
      </c>
      <c r="B913" s="2">
        <v>45014</v>
      </c>
      <c r="C913" s="1" t="s">
        <v>175</v>
      </c>
      <c r="D913" s="1" t="s">
        <v>1491</v>
      </c>
      <c r="E913" s="1" t="s">
        <v>21</v>
      </c>
      <c r="F913" s="1" t="s">
        <v>22</v>
      </c>
      <c r="G913" s="1">
        <v>1</v>
      </c>
      <c r="H913" s="1">
        <v>1109</v>
      </c>
      <c r="I913" s="1">
        <v>1109</v>
      </c>
      <c r="J913" s="1">
        <v>299.43</v>
      </c>
      <c r="K913" s="1">
        <v>0.27</v>
      </c>
      <c r="L913" s="1">
        <v>809.57</v>
      </c>
      <c r="M913" s="1" t="s">
        <v>18</v>
      </c>
    </row>
    <row r="914" spans="1:13" x14ac:dyDescent="0.35">
      <c r="A914" s="1" t="s">
        <v>1204</v>
      </c>
      <c r="B914" s="2">
        <v>45494</v>
      </c>
      <c r="C914" s="1" t="s">
        <v>306</v>
      </c>
      <c r="D914" s="1" t="s">
        <v>1493</v>
      </c>
      <c r="E914" s="1" t="s">
        <v>16</v>
      </c>
      <c r="F914" s="1" t="s">
        <v>17</v>
      </c>
      <c r="G914" s="1">
        <v>2</v>
      </c>
      <c r="H914" s="1">
        <v>1781</v>
      </c>
      <c r="I914" s="1">
        <v>3562</v>
      </c>
      <c r="J914" s="1">
        <v>1032.98</v>
      </c>
      <c r="K914" s="1">
        <v>0.28999999999999998</v>
      </c>
      <c r="L914" s="1">
        <v>2529.02</v>
      </c>
      <c r="M914" s="1" t="s">
        <v>18</v>
      </c>
    </row>
    <row r="915" spans="1:13" x14ac:dyDescent="0.35">
      <c r="A915" s="1" t="s">
        <v>1205</v>
      </c>
      <c r="B915" s="2">
        <v>45556</v>
      </c>
      <c r="C915" s="1" t="s">
        <v>229</v>
      </c>
      <c r="D915" s="1" t="s">
        <v>1492</v>
      </c>
      <c r="E915" s="1" t="s">
        <v>32</v>
      </c>
      <c r="F915" s="1" t="s">
        <v>17</v>
      </c>
      <c r="G915" s="1">
        <v>9</v>
      </c>
      <c r="H915" s="1">
        <v>1622</v>
      </c>
      <c r="I915" s="1">
        <v>14598</v>
      </c>
      <c r="J915" s="1">
        <v>1459.8000000000002</v>
      </c>
      <c r="K915" s="1">
        <v>0.1</v>
      </c>
      <c r="L915" s="1">
        <v>13138.2</v>
      </c>
      <c r="M915" s="1" t="s">
        <v>18</v>
      </c>
    </row>
    <row r="916" spans="1:13" x14ac:dyDescent="0.35">
      <c r="A916" s="1" t="s">
        <v>1206</v>
      </c>
      <c r="B916" s="2">
        <v>45334</v>
      </c>
      <c r="C916" s="1" t="s">
        <v>172</v>
      </c>
      <c r="D916" s="1" t="s">
        <v>1493</v>
      </c>
      <c r="E916" s="1" t="s">
        <v>32</v>
      </c>
      <c r="F916" s="1" t="s">
        <v>17</v>
      </c>
      <c r="G916" s="1">
        <v>9</v>
      </c>
      <c r="H916" s="1">
        <v>4730</v>
      </c>
      <c r="I916" s="1">
        <v>42570</v>
      </c>
      <c r="J916" s="1">
        <v>1277.0999999999999</v>
      </c>
      <c r="K916" s="1">
        <v>0.03</v>
      </c>
      <c r="L916" s="1">
        <v>41292.9</v>
      </c>
      <c r="M916" s="1" t="s">
        <v>18</v>
      </c>
    </row>
    <row r="917" spans="1:13" x14ac:dyDescent="0.35">
      <c r="A917" s="1" t="s">
        <v>1207</v>
      </c>
      <c r="B917" s="2">
        <v>45559</v>
      </c>
      <c r="C917" s="1" t="s">
        <v>227</v>
      </c>
      <c r="D917" s="1" t="s">
        <v>1491</v>
      </c>
      <c r="E917" s="1" t="s">
        <v>16</v>
      </c>
      <c r="F917" s="1" t="s">
        <v>17</v>
      </c>
      <c r="G917" s="1">
        <v>4</v>
      </c>
      <c r="H917" s="1">
        <v>3222</v>
      </c>
      <c r="I917" s="1">
        <v>12888</v>
      </c>
      <c r="J917" s="1">
        <v>3093.12</v>
      </c>
      <c r="K917" s="1">
        <v>0.24</v>
      </c>
      <c r="L917" s="1">
        <v>9794.8799999999992</v>
      </c>
      <c r="M917" s="1" t="s">
        <v>18</v>
      </c>
    </row>
    <row r="918" spans="1:13" x14ac:dyDescent="0.35">
      <c r="A918" s="1" t="s">
        <v>1208</v>
      </c>
      <c r="B918" s="2">
        <v>45038</v>
      </c>
      <c r="C918" s="1" t="s">
        <v>544</v>
      </c>
      <c r="D918" s="1" t="s">
        <v>1490</v>
      </c>
      <c r="E918" s="1" t="s">
        <v>181</v>
      </c>
      <c r="F918" s="1" t="s">
        <v>22</v>
      </c>
      <c r="G918" s="1">
        <v>6</v>
      </c>
      <c r="H918" s="1">
        <v>3641</v>
      </c>
      <c r="I918" s="1">
        <v>21846</v>
      </c>
      <c r="J918" s="1">
        <v>5461.5</v>
      </c>
      <c r="K918" s="1">
        <v>0.25</v>
      </c>
      <c r="L918" s="1">
        <v>16384.5</v>
      </c>
      <c r="M918" s="1" t="s">
        <v>18</v>
      </c>
    </row>
    <row r="919" spans="1:13" x14ac:dyDescent="0.35">
      <c r="A919" s="1" t="s">
        <v>1209</v>
      </c>
      <c r="B919" s="2">
        <v>45542</v>
      </c>
      <c r="C919" s="1" t="s">
        <v>163</v>
      </c>
      <c r="D919" s="1" t="s">
        <v>1490</v>
      </c>
      <c r="E919" s="1" t="s">
        <v>44</v>
      </c>
      <c r="F919" s="1" t="s">
        <v>45</v>
      </c>
      <c r="G919" s="1">
        <v>2</v>
      </c>
      <c r="H919" s="1">
        <v>1434</v>
      </c>
      <c r="I919" s="1">
        <v>2868</v>
      </c>
      <c r="J919" s="1">
        <v>544.91999999999996</v>
      </c>
      <c r="K919" s="1">
        <v>0.19</v>
      </c>
      <c r="L919" s="1">
        <v>2323.08</v>
      </c>
      <c r="M919" s="1" t="s">
        <v>18</v>
      </c>
    </row>
    <row r="920" spans="1:13" x14ac:dyDescent="0.35">
      <c r="A920" s="1" t="s">
        <v>1210</v>
      </c>
      <c r="B920" s="2">
        <v>45055</v>
      </c>
      <c r="C920" s="1" t="s">
        <v>653</v>
      </c>
      <c r="D920" s="1" t="s">
        <v>1491</v>
      </c>
      <c r="E920" s="1" t="s">
        <v>60</v>
      </c>
      <c r="F920" s="1" t="s">
        <v>45</v>
      </c>
      <c r="G920" s="1">
        <v>7</v>
      </c>
      <c r="H920" s="1">
        <v>674</v>
      </c>
      <c r="I920" s="1">
        <v>4718</v>
      </c>
      <c r="J920" s="1">
        <v>1132.32</v>
      </c>
      <c r="K920" s="1">
        <v>0.24</v>
      </c>
      <c r="L920" s="1">
        <v>3585.68</v>
      </c>
      <c r="M920" s="1" t="s">
        <v>18</v>
      </c>
    </row>
    <row r="921" spans="1:13" x14ac:dyDescent="0.35">
      <c r="A921" s="1" t="s">
        <v>1211</v>
      </c>
      <c r="B921" s="2">
        <v>44993</v>
      </c>
      <c r="C921" s="1" t="s">
        <v>99</v>
      </c>
      <c r="D921" s="1" t="s">
        <v>1490</v>
      </c>
      <c r="E921" s="1" t="s">
        <v>60</v>
      </c>
      <c r="F921" s="1" t="s">
        <v>45</v>
      </c>
      <c r="G921" s="1">
        <v>9</v>
      </c>
      <c r="H921" s="1">
        <v>2163</v>
      </c>
      <c r="I921" s="1">
        <v>19467</v>
      </c>
      <c r="J921" s="1">
        <v>5061.42</v>
      </c>
      <c r="K921" s="1">
        <v>0.26</v>
      </c>
      <c r="L921" s="1">
        <v>14405.58</v>
      </c>
      <c r="M921" s="1" t="s">
        <v>18</v>
      </c>
    </row>
    <row r="922" spans="1:13" x14ac:dyDescent="0.35">
      <c r="A922" s="1" t="s">
        <v>1212</v>
      </c>
      <c r="B922" s="2">
        <v>45381</v>
      </c>
      <c r="C922" s="1" t="s">
        <v>968</v>
      </c>
      <c r="D922" s="1" t="s">
        <v>1493</v>
      </c>
      <c r="E922" s="1" t="s">
        <v>57</v>
      </c>
      <c r="F922" s="1" t="s">
        <v>45</v>
      </c>
      <c r="G922" s="1">
        <v>5</v>
      </c>
      <c r="H922" s="1">
        <v>4754</v>
      </c>
      <c r="I922" s="1">
        <v>23770</v>
      </c>
      <c r="J922" s="1">
        <v>6655.6</v>
      </c>
      <c r="K922" s="1">
        <v>0.28000000000000003</v>
      </c>
      <c r="L922" s="1">
        <v>17114.400000000001</v>
      </c>
      <c r="M922" s="1" t="s">
        <v>18</v>
      </c>
    </row>
    <row r="923" spans="1:13" x14ac:dyDescent="0.35">
      <c r="A923" s="1" t="s">
        <v>1213</v>
      </c>
      <c r="B923" s="2">
        <v>45296</v>
      </c>
      <c r="C923" s="1" t="s">
        <v>183</v>
      </c>
      <c r="D923" s="1" t="s">
        <v>1490</v>
      </c>
      <c r="E923" s="1" t="s">
        <v>44</v>
      </c>
      <c r="F923" s="1" t="s">
        <v>45</v>
      </c>
      <c r="G923" s="1">
        <v>4</v>
      </c>
      <c r="H923" s="1">
        <v>3849</v>
      </c>
      <c r="I923" s="1">
        <v>15396</v>
      </c>
      <c r="J923" s="1">
        <v>4464.84</v>
      </c>
      <c r="K923" s="1">
        <v>0.28999999999999998</v>
      </c>
      <c r="L923" s="1">
        <v>10931.16</v>
      </c>
      <c r="M923" s="1" t="s">
        <v>18</v>
      </c>
    </row>
    <row r="924" spans="1:13" x14ac:dyDescent="0.35">
      <c r="A924" s="1" t="s">
        <v>1214</v>
      </c>
      <c r="B924" s="2">
        <v>45207</v>
      </c>
      <c r="C924" s="1" t="s">
        <v>732</v>
      </c>
      <c r="D924" s="1" t="s">
        <v>1493</v>
      </c>
      <c r="E924" s="1" t="s">
        <v>16</v>
      </c>
      <c r="F924" s="1" t="s">
        <v>17</v>
      </c>
      <c r="G924" s="1">
        <v>7</v>
      </c>
      <c r="H924" s="1">
        <v>851</v>
      </c>
      <c r="I924" s="1">
        <v>5957</v>
      </c>
      <c r="J924" s="1">
        <v>178.70999999999998</v>
      </c>
      <c r="K924" s="1">
        <v>0.03</v>
      </c>
      <c r="L924" s="1">
        <v>5778.29</v>
      </c>
      <c r="M924" s="1" t="s">
        <v>18</v>
      </c>
    </row>
    <row r="925" spans="1:13" x14ac:dyDescent="0.35">
      <c r="A925" s="1" t="s">
        <v>1215</v>
      </c>
      <c r="B925" s="2">
        <v>45154</v>
      </c>
      <c r="C925" s="1" t="s">
        <v>432</v>
      </c>
      <c r="D925" s="1" t="s">
        <v>1490</v>
      </c>
      <c r="E925" s="1" t="s">
        <v>189</v>
      </c>
      <c r="F925" s="1" t="s">
        <v>45</v>
      </c>
      <c r="G925" s="1">
        <v>8</v>
      </c>
      <c r="H925" s="1">
        <v>2478</v>
      </c>
      <c r="I925" s="1">
        <v>19824</v>
      </c>
      <c r="J925" s="1">
        <v>5154.24</v>
      </c>
      <c r="K925" s="1">
        <v>0.26</v>
      </c>
      <c r="L925" s="1">
        <v>14669.76</v>
      </c>
      <c r="M925" s="1" t="s">
        <v>18</v>
      </c>
    </row>
    <row r="926" spans="1:13" x14ac:dyDescent="0.35">
      <c r="A926" s="1" t="s">
        <v>1216</v>
      </c>
      <c r="B926" s="2">
        <v>45090</v>
      </c>
      <c r="C926" s="1" t="s">
        <v>460</v>
      </c>
      <c r="D926" s="1" t="s">
        <v>1490</v>
      </c>
      <c r="E926" s="1" t="s">
        <v>29</v>
      </c>
      <c r="F926" s="1" t="s">
        <v>22</v>
      </c>
      <c r="G926" s="1">
        <v>10</v>
      </c>
      <c r="H926" s="1">
        <v>3808</v>
      </c>
      <c r="I926" s="1">
        <v>38080</v>
      </c>
      <c r="J926" s="1">
        <v>7616</v>
      </c>
      <c r="K926" s="1">
        <v>0.2</v>
      </c>
      <c r="L926" s="1">
        <v>30464</v>
      </c>
      <c r="M926" s="1" t="s">
        <v>18</v>
      </c>
    </row>
    <row r="927" spans="1:13" x14ac:dyDescent="0.35">
      <c r="A927" s="1" t="s">
        <v>1217</v>
      </c>
      <c r="B927" s="2">
        <v>45169</v>
      </c>
      <c r="C927" s="1" t="s">
        <v>204</v>
      </c>
      <c r="D927" s="1" t="s">
        <v>1490</v>
      </c>
      <c r="E927" s="1" t="s">
        <v>48</v>
      </c>
      <c r="F927" s="1" t="s">
        <v>17</v>
      </c>
      <c r="G927" s="1">
        <v>9</v>
      </c>
      <c r="H927" s="1">
        <v>3762</v>
      </c>
      <c r="I927" s="1">
        <v>33858</v>
      </c>
      <c r="J927" s="1">
        <v>4062.96</v>
      </c>
      <c r="K927" s="1">
        <v>0.12</v>
      </c>
      <c r="L927" s="1">
        <v>29795.040000000001</v>
      </c>
      <c r="M927" s="1" t="s">
        <v>18</v>
      </c>
    </row>
    <row r="928" spans="1:13" x14ac:dyDescent="0.35">
      <c r="A928" s="1" t="s">
        <v>1218</v>
      </c>
      <c r="B928" s="2">
        <v>44953</v>
      </c>
      <c r="C928" s="1" t="s">
        <v>244</v>
      </c>
      <c r="D928" s="1" t="s">
        <v>1490</v>
      </c>
      <c r="E928" s="1" t="s">
        <v>189</v>
      </c>
      <c r="F928" s="1" t="s">
        <v>45</v>
      </c>
      <c r="G928" s="1">
        <v>6</v>
      </c>
      <c r="H928" s="1">
        <v>1543</v>
      </c>
      <c r="I928" s="1">
        <v>9258</v>
      </c>
      <c r="J928" s="1">
        <v>1296.1200000000001</v>
      </c>
      <c r="K928" s="1">
        <v>0.14000000000000001</v>
      </c>
      <c r="L928" s="1">
        <v>7961.88</v>
      </c>
      <c r="M928" s="1" t="s">
        <v>18</v>
      </c>
    </row>
    <row r="929" spans="1:13" x14ac:dyDescent="0.35">
      <c r="A929" s="1" t="s">
        <v>1219</v>
      </c>
      <c r="B929" s="2">
        <v>45394</v>
      </c>
      <c r="C929" s="1" t="s">
        <v>552</v>
      </c>
      <c r="D929" s="1" t="s">
        <v>1492</v>
      </c>
      <c r="E929" s="1" t="s">
        <v>39</v>
      </c>
      <c r="F929" s="1" t="s">
        <v>22</v>
      </c>
      <c r="G929" s="1">
        <v>3</v>
      </c>
      <c r="H929" s="1">
        <v>3298</v>
      </c>
      <c r="I929" s="1">
        <v>9894</v>
      </c>
      <c r="J929" s="1">
        <v>1978.8000000000002</v>
      </c>
      <c r="K929" s="1">
        <v>0.2</v>
      </c>
      <c r="L929" s="1">
        <v>7915.2</v>
      </c>
      <c r="M929" s="1" t="s">
        <v>18</v>
      </c>
    </row>
    <row r="930" spans="1:13" x14ac:dyDescent="0.35">
      <c r="A930" s="1" t="s">
        <v>1220</v>
      </c>
      <c r="B930" s="2">
        <v>45573</v>
      </c>
      <c r="C930" s="1" t="s">
        <v>275</v>
      </c>
      <c r="D930" s="1" t="s">
        <v>1492</v>
      </c>
      <c r="E930" s="1" t="s">
        <v>60</v>
      </c>
      <c r="F930" s="1" t="s">
        <v>45</v>
      </c>
      <c r="G930" s="1">
        <v>6</v>
      </c>
      <c r="H930" s="1">
        <v>3576</v>
      </c>
      <c r="I930" s="1">
        <v>21456</v>
      </c>
      <c r="J930" s="1">
        <v>3862.08</v>
      </c>
      <c r="K930" s="1">
        <v>0.18</v>
      </c>
      <c r="L930" s="1">
        <v>17593.919999999998</v>
      </c>
      <c r="M930" s="1" t="s">
        <v>18</v>
      </c>
    </row>
    <row r="931" spans="1:13" x14ac:dyDescent="0.35">
      <c r="A931" s="1" t="s">
        <v>1221</v>
      </c>
      <c r="B931" s="2">
        <v>45345</v>
      </c>
      <c r="C931" s="1" t="s">
        <v>396</v>
      </c>
      <c r="D931" s="1" t="s">
        <v>1490</v>
      </c>
      <c r="E931" s="1" t="s">
        <v>48</v>
      </c>
      <c r="F931" s="1" t="s">
        <v>17</v>
      </c>
      <c r="G931" s="1">
        <v>3</v>
      </c>
      <c r="H931" s="1">
        <v>4976</v>
      </c>
      <c r="I931" s="1">
        <v>14928</v>
      </c>
      <c r="J931" s="1">
        <v>2836.32</v>
      </c>
      <c r="K931" s="1">
        <v>0.19</v>
      </c>
      <c r="L931" s="1">
        <v>12091.68</v>
      </c>
      <c r="M931" s="1" t="s">
        <v>18</v>
      </c>
    </row>
    <row r="932" spans="1:13" x14ac:dyDescent="0.35">
      <c r="A932" s="1" t="s">
        <v>1222</v>
      </c>
      <c r="B932" s="2">
        <v>45201</v>
      </c>
      <c r="C932" s="1" t="s">
        <v>605</v>
      </c>
      <c r="D932" s="1" t="s">
        <v>1492</v>
      </c>
      <c r="E932" s="1" t="s">
        <v>44</v>
      </c>
      <c r="F932" s="1" t="s">
        <v>45</v>
      </c>
      <c r="G932" s="1">
        <v>9</v>
      </c>
      <c r="H932" s="1">
        <v>4926</v>
      </c>
      <c r="I932" s="1">
        <v>44334</v>
      </c>
      <c r="J932" s="1">
        <v>12856.859999999999</v>
      </c>
      <c r="K932" s="1">
        <v>0.28999999999999998</v>
      </c>
      <c r="L932" s="1">
        <v>31477.14</v>
      </c>
      <c r="M932" s="1" t="s">
        <v>18</v>
      </c>
    </row>
    <row r="933" spans="1:13" x14ac:dyDescent="0.35">
      <c r="A933" s="1" t="s">
        <v>1223</v>
      </c>
      <c r="B933" s="2">
        <v>45452</v>
      </c>
      <c r="C933" s="1" t="s">
        <v>284</v>
      </c>
      <c r="D933" s="1" t="s">
        <v>1493</v>
      </c>
      <c r="E933" s="1" t="s">
        <v>189</v>
      </c>
      <c r="F933" s="1" t="s">
        <v>45</v>
      </c>
      <c r="G933" s="1">
        <v>10</v>
      </c>
      <c r="H933" s="1">
        <v>373</v>
      </c>
      <c r="I933" s="1">
        <v>3730</v>
      </c>
      <c r="J933" s="1">
        <v>223.79999999999998</v>
      </c>
      <c r="K933" s="1">
        <v>0.06</v>
      </c>
      <c r="L933" s="1">
        <v>3506.2</v>
      </c>
      <c r="M933" s="1" t="s">
        <v>18</v>
      </c>
    </row>
    <row r="934" spans="1:13" x14ac:dyDescent="0.35">
      <c r="A934" s="1" t="s">
        <v>1224</v>
      </c>
      <c r="B934" s="2">
        <v>45437</v>
      </c>
      <c r="C934" s="1" t="s">
        <v>605</v>
      </c>
      <c r="D934" s="1" t="s">
        <v>1492</v>
      </c>
      <c r="E934" s="1" t="s">
        <v>181</v>
      </c>
      <c r="F934" s="1" t="s">
        <v>22</v>
      </c>
      <c r="G934" s="1">
        <v>7</v>
      </c>
      <c r="H934" s="1">
        <v>3980</v>
      </c>
      <c r="I934" s="1">
        <v>27860</v>
      </c>
      <c r="J934" s="1">
        <v>7522.2000000000007</v>
      </c>
      <c r="K934" s="1">
        <v>0.27</v>
      </c>
      <c r="L934" s="1">
        <v>20337.8</v>
      </c>
      <c r="M934" s="1" t="s">
        <v>18</v>
      </c>
    </row>
    <row r="935" spans="1:13" x14ac:dyDescent="0.35">
      <c r="A935" s="1" t="s">
        <v>1225</v>
      </c>
      <c r="B935" s="2">
        <v>45253</v>
      </c>
      <c r="C935" s="1" t="s">
        <v>136</v>
      </c>
      <c r="D935" s="1" t="s">
        <v>1490</v>
      </c>
      <c r="E935" s="1" t="s">
        <v>189</v>
      </c>
      <c r="F935" s="1" t="s">
        <v>45</v>
      </c>
      <c r="G935" s="1">
        <v>4</v>
      </c>
      <c r="H935" s="1">
        <v>4570</v>
      </c>
      <c r="I935" s="1">
        <v>18280</v>
      </c>
      <c r="J935" s="1">
        <v>4935.6000000000004</v>
      </c>
      <c r="K935" s="1">
        <v>0.27</v>
      </c>
      <c r="L935" s="1">
        <v>13344.4</v>
      </c>
      <c r="M935" s="1" t="s">
        <v>18</v>
      </c>
    </row>
    <row r="936" spans="1:13" x14ac:dyDescent="0.35">
      <c r="A936" s="1" t="s">
        <v>1226</v>
      </c>
      <c r="B936" s="2">
        <v>45613</v>
      </c>
      <c r="C936" s="1" t="s">
        <v>314</v>
      </c>
      <c r="D936" s="1" t="s">
        <v>1492</v>
      </c>
      <c r="E936" s="1" t="s">
        <v>39</v>
      </c>
      <c r="F936" s="1" t="s">
        <v>22</v>
      </c>
      <c r="G936" s="1">
        <v>4</v>
      </c>
      <c r="H936" s="1">
        <v>2794</v>
      </c>
      <c r="I936" s="1">
        <v>11176</v>
      </c>
      <c r="J936" s="1">
        <v>670.56</v>
      </c>
      <c r="K936" s="1">
        <v>0.06</v>
      </c>
      <c r="L936" s="1">
        <v>10505.44</v>
      </c>
      <c r="M936" s="1" t="s">
        <v>18</v>
      </c>
    </row>
    <row r="937" spans="1:13" x14ac:dyDescent="0.35">
      <c r="A937" s="1" t="s">
        <v>1227</v>
      </c>
      <c r="B937" s="2">
        <v>45379</v>
      </c>
      <c r="C937" s="1" t="s">
        <v>262</v>
      </c>
      <c r="D937" s="1" t="s">
        <v>1490</v>
      </c>
      <c r="E937" s="1" t="s">
        <v>189</v>
      </c>
      <c r="F937" s="1" t="s">
        <v>45</v>
      </c>
      <c r="G937" s="1">
        <v>7</v>
      </c>
      <c r="H937" s="1">
        <v>4993</v>
      </c>
      <c r="I937" s="1">
        <v>34951</v>
      </c>
      <c r="J937" s="1">
        <v>1747.5500000000002</v>
      </c>
      <c r="K937" s="1">
        <v>0.05</v>
      </c>
      <c r="L937" s="1">
        <v>33203.449999999997</v>
      </c>
      <c r="M937" s="1" t="s">
        <v>18</v>
      </c>
    </row>
    <row r="938" spans="1:13" x14ac:dyDescent="0.35">
      <c r="A938" s="1" t="s">
        <v>1228</v>
      </c>
      <c r="B938" s="2">
        <v>45394</v>
      </c>
      <c r="C938" s="1" t="s">
        <v>847</v>
      </c>
      <c r="D938" s="1" t="s">
        <v>1491</v>
      </c>
      <c r="E938" s="1" t="s">
        <v>57</v>
      </c>
      <c r="F938" s="1" t="s">
        <v>45</v>
      </c>
      <c r="G938" s="1">
        <v>6</v>
      </c>
      <c r="H938" s="1">
        <v>2738</v>
      </c>
      <c r="I938" s="1">
        <v>16428</v>
      </c>
      <c r="J938" s="1">
        <v>1314.24</v>
      </c>
      <c r="K938" s="1">
        <v>0.08</v>
      </c>
      <c r="L938" s="1">
        <v>15113.76</v>
      </c>
      <c r="M938" s="1" t="s">
        <v>18</v>
      </c>
    </row>
    <row r="939" spans="1:13" x14ac:dyDescent="0.35">
      <c r="A939" s="1" t="s">
        <v>1229</v>
      </c>
      <c r="B939" s="2">
        <v>44992</v>
      </c>
      <c r="C939" s="1" t="s">
        <v>814</v>
      </c>
      <c r="D939" s="1" t="s">
        <v>1493</v>
      </c>
      <c r="E939" s="1" t="s">
        <v>26</v>
      </c>
      <c r="F939" s="1" t="s">
        <v>17</v>
      </c>
      <c r="G939" s="1">
        <v>2</v>
      </c>
      <c r="H939" s="1">
        <v>3909</v>
      </c>
      <c r="I939" s="1">
        <v>7818</v>
      </c>
      <c r="J939" s="1">
        <v>1329.0600000000002</v>
      </c>
      <c r="K939" s="1">
        <v>0.17</v>
      </c>
      <c r="L939" s="1">
        <v>6488.94</v>
      </c>
      <c r="M939" s="1" t="s">
        <v>18</v>
      </c>
    </row>
    <row r="940" spans="1:13" x14ac:dyDescent="0.35">
      <c r="A940" s="1" t="s">
        <v>1230</v>
      </c>
      <c r="B940" s="2">
        <v>45455</v>
      </c>
      <c r="C940" s="1" t="s">
        <v>507</v>
      </c>
      <c r="D940" s="1" t="s">
        <v>1490</v>
      </c>
      <c r="E940" s="1" t="s">
        <v>57</v>
      </c>
      <c r="F940" s="1" t="s">
        <v>45</v>
      </c>
      <c r="G940" s="1">
        <v>8</v>
      </c>
      <c r="H940" s="1">
        <v>3958</v>
      </c>
      <c r="I940" s="1">
        <v>31664</v>
      </c>
      <c r="J940" s="1">
        <v>7916</v>
      </c>
      <c r="K940" s="1">
        <v>0.25</v>
      </c>
      <c r="L940" s="1">
        <v>23748</v>
      </c>
      <c r="M940" s="1" t="s">
        <v>18</v>
      </c>
    </row>
    <row r="941" spans="1:13" x14ac:dyDescent="0.35">
      <c r="A941" s="1" t="s">
        <v>1231</v>
      </c>
      <c r="B941" s="2">
        <v>45013</v>
      </c>
      <c r="C941" s="1" t="s">
        <v>425</v>
      </c>
      <c r="D941" s="1" t="s">
        <v>1490</v>
      </c>
      <c r="E941" s="1" t="s">
        <v>32</v>
      </c>
      <c r="F941" s="1" t="s">
        <v>17</v>
      </c>
      <c r="G941" s="1">
        <v>8</v>
      </c>
      <c r="H941" s="1">
        <v>116</v>
      </c>
      <c r="I941" s="1">
        <v>928</v>
      </c>
      <c r="J941" s="1">
        <v>269.12</v>
      </c>
      <c r="K941" s="1">
        <v>0.28999999999999998</v>
      </c>
      <c r="L941" s="1">
        <v>658.88</v>
      </c>
      <c r="M941" s="1" t="s">
        <v>18</v>
      </c>
    </row>
    <row r="942" spans="1:13" x14ac:dyDescent="0.35">
      <c r="A942" s="1" t="s">
        <v>1232</v>
      </c>
      <c r="B942" s="2">
        <v>45199</v>
      </c>
      <c r="C942" s="1" t="s">
        <v>85</v>
      </c>
      <c r="D942" s="1" t="s">
        <v>1492</v>
      </c>
      <c r="E942" s="1" t="s">
        <v>29</v>
      </c>
      <c r="F942" s="1" t="s">
        <v>22</v>
      </c>
      <c r="G942" s="1">
        <v>7</v>
      </c>
      <c r="H942" s="1">
        <v>3583</v>
      </c>
      <c r="I942" s="1">
        <v>25081</v>
      </c>
      <c r="J942" s="1">
        <v>5517.82</v>
      </c>
      <c r="K942" s="1">
        <v>0.22</v>
      </c>
      <c r="L942" s="1">
        <v>19563.18</v>
      </c>
      <c r="M942" s="1" t="s">
        <v>18</v>
      </c>
    </row>
    <row r="943" spans="1:13" x14ac:dyDescent="0.35">
      <c r="A943" s="1" t="s">
        <v>1233</v>
      </c>
      <c r="B943" s="2">
        <v>45629</v>
      </c>
      <c r="C943" s="1" t="s">
        <v>144</v>
      </c>
      <c r="D943" s="1" t="s">
        <v>1493</v>
      </c>
      <c r="E943" s="1" t="s">
        <v>181</v>
      </c>
      <c r="F943" s="1" t="s">
        <v>22</v>
      </c>
      <c r="G943" s="1">
        <v>9</v>
      </c>
      <c r="H943" s="1">
        <v>4497</v>
      </c>
      <c r="I943" s="1">
        <v>40473</v>
      </c>
      <c r="J943" s="1">
        <v>10927.710000000001</v>
      </c>
      <c r="K943" s="1">
        <v>0.27</v>
      </c>
      <c r="L943" s="1">
        <v>29545.29</v>
      </c>
      <c r="M943" s="1" t="s">
        <v>18</v>
      </c>
    </row>
    <row r="944" spans="1:13" x14ac:dyDescent="0.35">
      <c r="A944" s="1" t="s">
        <v>1234</v>
      </c>
      <c r="B944" s="2">
        <v>45517</v>
      </c>
      <c r="C944" s="1" t="s">
        <v>467</v>
      </c>
      <c r="D944" s="1" t="s">
        <v>1492</v>
      </c>
      <c r="E944" s="1" t="s">
        <v>189</v>
      </c>
      <c r="F944" s="1" t="s">
        <v>45</v>
      </c>
      <c r="G944" s="1">
        <v>4</v>
      </c>
      <c r="H944" s="1">
        <v>4491</v>
      </c>
      <c r="I944" s="1">
        <v>17964</v>
      </c>
      <c r="J944" s="1">
        <v>538.91999999999996</v>
      </c>
      <c r="K944" s="1">
        <v>0.03</v>
      </c>
      <c r="L944" s="1">
        <v>17425.080000000002</v>
      </c>
      <c r="M944" s="1" t="s">
        <v>18</v>
      </c>
    </row>
    <row r="945" spans="1:13" x14ac:dyDescent="0.35">
      <c r="A945" s="1" t="s">
        <v>1235</v>
      </c>
      <c r="B945" s="2">
        <v>45468</v>
      </c>
      <c r="C945" s="1" t="s">
        <v>363</v>
      </c>
      <c r="D945" s="1" t="s">
        <v>1492</v>
      </c>
      <c r="E945" s="1" t="s">
        <v>29</v>
      </c>
      <c r="F945" s="1" t="s">
        <v>22</v>
      </c>
      <c r="G945" s="1">
        <v>6</v>
      </c>
      <c r="H945" s="1">
        <v>1855</v>
      </c>
      <c r="I945" s="1">
        <v>11130</v>
      </c>
      <c r="J945" s="1">
        <v>111.3</v>
      </c>
      <c r="K945" s="1">
        <v>0.01</v>
      </c>
      <c r="L945" s="1">
        <v>11018.7</v>
      </c>
      <c r="M945" s="1" t="s">
        <v>18</v>
      </c>
    </row>
    <row r="946" spans="1:13" x14ac:dyDescent="0.35">
      <c r="A946" s="1" t="s">
        <v>1236</v>
      </c>
      <c r="B946" s="2">
        <v>45070</v>
      </c>
      <c r="C946" s="1" t="s">
        <v>605</v>
      </c>
      <c r="D946" s="1" t="s">
        <v>1492</v>
      </c>
      <c r="E946" s="1" t="s">
        <v>29</v>
      </c>
      <c r="F946" s="1" t="s">
        <v>22</v>
      </c>
      <c r="G946" s="1">
        <v>7</v>
      </c>
      <c r="H946" s="1">
        <v>1124</v>
      </c>
      <c r="I946" s="1">
        <v>7868</v>
      </c>
      <c r="J946" s="1">
        <v>314.72000000000003</v>
      </c>
      <c r="K946" s="1">
        <v>0.04</v>
      </c>
      <c r="L946" s="1">
        <v>7553.28</v>
      </c>
      <c r="M946" s="1" t="s">
        <v>18</v>
      </c>
    </row>
    <row r="947" spans="1:13" x14ac:dyDescent="0.35">
      <c r="A947" s="1" t="s">
        <v>1237</v>
      </c>
      <c r="B947" s="2">
        <v>44968</v>
      </c>
      <c r="C947" s="1" t="s">
        <v>183</v>
      </c>
      <c r="D947" s="1" t="s">
        <v>1490</v>
      </c>
      <c r="E947" s="1" t="s">
        <v>26</v>
      </c>
      <c r="F947" s="1" t="s">
        <v>17</v>
      </c>
      <c r="G947" s="1">
        <v>3</v>
      </c>
      <c r="H947" s="1">
        <v>3950</v>
      </c>
      <c r="I947" s="1">
        <v>11850</v>
      </c>
      <c r="J947" s="1">
        <v>118.5</v>
      </c>
      <c r="K947" s="1">
        <v>0.01</v>
      </c>
      <c r="L947" s="1">
        <v>11731.5</v>
      </c>
      <c r="M947" s="1" t="s">
        <v>18</v>
      </c>
    </row>
    <row r="948" spans="1:13" x14ac:dyDescent="0.35">
      <c r="A948" s="1" t="s">
        <v>1238</v>
      </c>
      <c r="B948" s="2">
        <v>45152</v>
      </c>
      <c r="C948" s="1" t="s">
        <v>114</v>
      </c>
      <c r="D948" s="1" t="s">
        <v>1490</v>
      </c>
      <c r="E948" s="1" t="s">
        <v>57</v>
      </c>
      <c r="F948" s="1" t="s">
        <v>45</v>
      </c>
      <c r="G948" s="1">
        <v>6</v>
      </c>
      <c r="H948" s="1">
        <v>1722</v>
      </c>
      <c r="I948" s="1">
        <v>10332</v>
      </c>
      <c r="J948" s="1">
        <v>1963.08</v>
      </c>
      <c r="K948" s="1">
        <v>0.19</v>
      </c>
      <c r="L948" s="1">
        <v>8368.92</v>
      </c>
      <c r="M948" s="1" t="s">
        <v>18</v>
      </c>
    </row>
    <row r="949" spans="1:13" x14ac:dyDescent="0.35">
      <c r="A949" s="1" t="s">
        <v>1239</v>
      </c>
      <c r="B949" s="2">
        <v>44929</v>
      </c>
      <c r="C949" s="1" t="s">
        <v>544</v>
      </c>
      <c r="D949" s="1" t="s">
        <v>1490</v>
      </c>
      <c r="E949" s="1" t="s">
        <v>189</v>
      </c>
      <c r="F949" s="1" t="s">
        <v>45</v>
      </c>
      <c r="G949" s="1">
        <v>5</v>
      </c>
      <c r="H949" s="1">
        <v>540</v>
      </c>
      <c r="I949" s="1">
        <v>2700</v>
      </c>
      <c r="J949" s="1">
        <v>621</v>
      </c>
      <c r="K949" s="1">
        <v>0.23</v>
      </c>
      <c r="L949" s="1">
        <v>2079</v>
      </c>
      <c r="M949" s="1" t="s">
        <v>18</v>
      </c>
    </row>
    <row r="950" spans="1:13" x14ac:dyDescent="0.35">
      <c r="A950" s="1" t="s">
        <v>1240</v>
      </c>
      <c r="B950" s="2">
        <v>45568</v>
      </c>
      <c r="C950" s="1" t="s">
        <v>658</v>
      </c>
      <c r="D950" s="1" t="s">
        <v>1492</v>
      </c>
      <c r="E950" s="1" t="s">
        <v>32</v>
      </c>
      <c r="F950" s="1" t="s">
        <v>17</v>
      </c>
      <c r="G950" s="1">
        <v>10</v>
      </c>
      <c r="H950" s="1">
        <v>1062</v>
      </c>
      <c r="I950" s="1">
        <v>10620</v>
      </c>
      <c r="J950" s="1">
        <v>106.2</v>
      </c>
      <c r="K950" s="1">
        <v>0.01</v>
      </c>
      <c r="L950" s="1">
        <v>10513.8</v>
      </c>
      <c r="M950" s="1" t="s">
        <v>18</v>
      </c>
    </row>
    <row r="951" spans="1:13" x14ac:dyDescent="0.35">
      <c r="A951" s="1" t="s">
        <v>1241</v>
      </c>
      <c r="B951" s="2">
        <v>45613</v>
      </c>
      <c r="C951" s="1" t="s">
        <v>348</v>
      </c>
      <c r="D951" s="1" t="s">
        <v>1492</v>
      </c>
      <c r="E951" s="1" t="s">
        <v>44</v>
      </c>
      <c r="F951" s="1" t="s">
        <v>45</v>
      </c>
      <c r="G951" s="1">
        <v>8</v>
      </c>
      <c r="H951" s="1">
        <v>2274</v>
      </c>
      <c r="I951" s="1">
        <v>18192</v>
      </c>
      <c r="J951" s="1">
        <v>3638.4</v>
      </c>
      <c r="K951" s="1">
        <v>0.2</v>
      </c>
      <c r="L951" s="1">
        <v>14553.6</v>
      </c>
      <c r="M951" s="1" t="s">
        <v>18</v>
      </c>
    </row>
    <row r="952" spans="1:13" x14ac:dyDescent="0.35">
      <c r="A952" s="1" t="s">
        <v>1242</v>
      </c>
      <c r="B952" s="2">
        <v>45393</v>
      </c>
      <c r="C952" s="1" t="s">
        <v>432</v>
      </c>
      <c r="D952" s="1" t="s">
        <v>1490</v>
      </c>
      <c r="E952" s="1" t="s">
        <v>189</v>
      </c>
      <c r="F952" s="1" t="s">
        <v>45</v>
      </c>
      <c r="G952" s="1">
        <v>1</v>
      </c>
      <c r="H952" s="1">
        <v>2147</v>
      </c>
      <c r="I952" s="1">
        <v>2147</v>
      </c>
      <c r="J952" s="1">
        <v>493.81</v>
      </c>
      <c r="K952" s="1">
        <v>0.23</v>
      </c>
      <c r="L952" s="1">
        <v>1653.19</v>
      </c>
      <c r="M952" s="1" t="s">
        <v>18</v>
      </c>
    </row>
    <row r="953" spans="1:13" x14ac:dyDescent="0.35">
      <c r="A953" s="1" t="s">
        <v>1243</v>
      </c>
      <c r="B953" s="2">
        <v>45528</v>
      </c>
      <c r="C953" s="1" t="s">
        <v>382</v>
      </c>
      <c r="D953" s="1" t="s">
        <v>1490</v>
      </c>
      <c r="E953" s="1" t="s">
        <v>16</v>
      </c>
      <c r="F953" s="1" t="s">
        <v>17</v>
      </c>
      <c r="G953" s="1">
        <v>3</v>
      </c>
      <c r="H953" s="1">
        <v>1155</v>
      </c>
      <c r="I953" s="1">
        <v>3465</v>
      </c>
      <c r="J953" s="1">
        <v>103.95</v>
      </c>
      <c r="K953" s="1">
        <v>0.03</v>
      </c>
      <c r="L953" s="1">
        <v>3361.05</v>
      </c>
      <c r="M953" s="1" t="s">
        <v>18</v>
      </c>
    </row>
    <row r="954" spans="1:13" x14ac:dyDescent="0.35">
      <c r="A954" s="1" t="s">
        <v>1244</v>
      </c>
      <c r="B954" s="2">
        <v>45207</v>
      </c>
      <c r="C954" s="1" t="s">
        <v>31</v>
      </c>
      <c r="D954" s="1" t="s">
        <v>1492</v>
      </c>
      <c r="E954" s="1" t="s">
        <v>189</v>
      </c>
      <c r="F954" s="1" t="s">
        <v>45</v>
      </c>
      <c r="G954" s="1">
        <v>8</v>
      </c>
      <c r="H954" s="1">
        <v>2182</v>
      </c>
      <c r="I954" s="1">
        <v>17456</v>
      </c>
      <c r="J954" s="1">
        <v>698.24</v>
      </c>
      <c r="K954" s="1">
        <v>0.04</v>
      </c>
      <c r="L954" s="1">
        <v>16757.759999999998</v>
      </c>
      <c r="M954" s="1" t="s">
        <v>18</v>
      </c>
    </row>
    <row r="955" spans="1:13" x14ac:dyDescent="0.35">
      <c r="A955" s="1" t="s">
        <v>1245</v>
      </c>
      <c r="B955" s="2">
        <v>45150</v>
      </c>
      <c r="C955" s="1" t="s">
        <v>360</v>
      </c>
      <c r="D955" s="1" t="s">
        <v>1493</v>
      </c>
      <c r="E955" s="1" t="s">
        <v>16</v>
      </c>
      <c r="F955" s="1" t="s">
        <v>17</v>
      </c>
      <c r="G955" s="1">
        <v>7</v>
      </c>
      <c r="H955" s="1">
        <v>493</v>
      </c>
      <c r="I955" s="1">
        <v>3451</v>
      </c>
      <c r="J955" s="1">
        <v>414.12</v>
      </c>
      <c r="K955" s="1">
        <v>0.12</v>
      </c>
      <c r="L955" s="1">
        <v>3036.88</v>
      </c>
      <c r="M955" s="1" t="s">
        <v>18</v>
      </c>
    </row>
    <row r="956" spans="1:13" x14ac:dyDescent="0.35">
      <c r="A956" s="1" t="s">
        <v>1246</v>
      </c>
      <c r="B956" s="2">
        <v>45080</v>
      </c>
      <c r="C956" s="1" t="s">
        <v>82</v>
      </c>
      <c r="D956" s="1" t="s">
        <v>1490</v>
      </c>
      <c r="E956" s="1" t="s">
        <v>44</v>
      </c>
      <c r="F956" s="1" t="s">
        <v>45</v>
      </c>
      <c r="G956" s="1">
        <v>7</v>
      </c>
      <c r="H956" s="1">
        <v>433</v>
      </c>
      <c r="I956" s="1">
        <v>3031</v>
      </c>
      <c r="J956" s="1">
        <v>333.41</v>
      </c>
      <c r="K956" s="1">
        <v>0.11</v>
      </c>
      <c r="L956" s="1">
        <v>2697.59</v>
      </c>
      <c r="M956" s="1" t="s">
        <v>18</v>
      </c>
    </row>
    <row r="957" spans="1:13" x14ac:dyDescent="0.35">
      <c r="A957" s="1" t="s">
        <v>1247</v>
      </c>
      <c r="B957" s="2">
        <v>45114</v>
      </c>
      <c r="C957" s="1" t="s">
        <v>196</v>
      </c>
      <c r="D957" s="1" t="s">
        <v>1493</v>
      </c>
      <c r="E957" s="1" t="s">
        <v>29</v>
      </c>
      <c r="F957" s="1" t="s">
        <v>22</v>
      </c>
      <c r="G957" s="1">
        <v>9</v>
      </c>
      <c r="H957" s="1">
        <v>4073</v>
      </c>
      <c r="I957" s="1">
        <v>36657</v>
      </c>
      <c r="J957" s="1">
        <v>6231.6900000000005</v>
      </c>
      <c r="K957" s="1">
        <v>0.17</v>
      </c>
      <c r="L957" s="1">
        <v>30425.31</v>
      </c>
      <c r="M957" s="1" t="s">
        <v>18</v>
      </c>
    </row>
    <row r="958" spans="1:13" x14ac:dyDescent="0.35">
      <c r="A958" s="1" t="s">
        <v>1248</v>
      </c>
      <c r="B958" s="2">
        <v>45065</v>
      </c>
      <c r="C958" s="1" t="s">
        <v>112</v>
      </c>
      <c r="D958" s="1" t="s">
        <v>1493</v>
      </c>
      <c r="E958" s="1" t="s">
        <v>57</v>
      </c>
      <c r="F958" s="1" t="s">
        <v>45</v>
      </c>
      <c r="G958" s="1">
        <v>6</v>
      </c>
      <c r="H958" s="1">
        <v>4123</v>
      </c>
      <c r="I958" s="1">
        <v>24738</v>
      </c>
      <c r="J958" s="1">
        <v>7174.0199999999995</v>
      </c>
      <c r="K958" s="1">
        <v>0.28999999999999998</v>
      </c>
      <c r="L958" s="1">
        <v>17563.98</v>
      </c>
      <c r="M958" s="1" t="s">
        <v>18</v>
      </c>
    </row>
    <row r="959" spans="1:13" x14ac:dyDescent="0.35">
      <c r="A959" s="1" t="s">
        <v>1249</v>
      </c>
      <c r="B959" s="2">
        <v>45172</v>
      </c>
      <c r="C959" s="1" t="s">
        <v>390</v>
      </c>
      <c r="D959" s="1" t="s">
        <v>1493</v>
      </c>
      <c r="E959" s="1" t="s">
        <v>32</v>
      </c>
      <c r="F959" s="1" t="s">
        <v>17</v>
      </c>
      <c r="G959" s="1">
        <v>1</v>
      </c>
      <c r="H959" s="1">
        <v>3881</v>
      </c>
      <c r="I959" s="1">
        <v>3881</v>
      </c>
      <c r="J959" s="1">
        <v>77.62</v>
      </c>
      <c r="K959" s="1">
        <v>0.02</v>
      </c>
      <c r="L959" s="1">
        <v>3803.38</v>
      </c>
      <c r="M959" s="1" t="s">
        <v>18</v>
      </c>
    </row>
    <row r="960" spans="1:13" x14ac:dyDescent="0.35">
      <c r="A960" s="1" t="s">
        <v>1250</v>
      </c>
      <c r="B960" s="2">
        <v>45595</v>
      </c>
      <c r="C960" s="1" t="s">
        <v>59</v>
      </c>
      <c r="D960" s="1" t="s">
        <v>1492</v>
      </c>
      <c r="E960" s="1" t="s">
        <v>32</v>
      </c>
      <c r="F960" s="1" t="s">
        <v>17</v>
      </c>
      <c r="G960" s="1">
        <v>6</v>
      </c>
      <c r="H960" s="1">
        <v>3391</v>
      </c>
      <c r="I960" s="1">
        <v>20346</v>
      </c>
      <c r="J960" s="1">
        <v>406.92</v>
      </c>
      <c r="K960" s="1">
        <v>0.02</v>
      </c>
      <c r="L960" s="1">
        <v>19939.080000000002</v>
      </c>
      <c r="M960" s="1" t="s">
        <v>18</v>
      </c>
    </row>
    <row r="961" spans="1:13" x14ac:dyDescent="0.35">
      <c r="A961" s="1" t="s">
        <v>1251</v>
      </c>
      <c r="B961" s="2">
        <v>45588</v>
      </c>
      <c r="C961" s="1" t="s">
        <v>458</v>
      </c>
      <c r="D961" s="1" t="s">
        <v>1492</v>
      </c>
      <c r="E961" s="1" t="s">
        <v>57</v>
      </c>
      <c r="F961" s="1" t="s">
        <v>45</v>
      </c>
      <c r="G961" s="1">
        <v>9</v>
      </c>
      <c r="H961" s="1">
        <v>4042</v>
      </c>
      <c r="I961" s="1">
        <v>36378</v>
      </c>
      <c r="J961" s="1">
        <v>6911.82</v>
      </c>
      <c r="K961" s="1">
        <v>0.19</v>
      </c>
      <c r="L961" s="1">
        <v>29466.18</v>
      </c>
      <c r="M961" s="1" t="s">
        <v>18</v>
      </c>
    </row>
    <row r="962" spans="1:13" x14ac:dyDescent="0.35">
      <c r="A962" s="1" t="s">
        <v>1252</v>
      </c>
      <c r="B962" s="2">
        <v>45634</v>
      </c>
      <c r="C962" s="1" t="s">
        <v>653</v>
      </c>
      <c r="D962" s="1" t="s">
        <v>1491</v>
      </c>
      <c r="E962" s="1" t="s">
        <v>21</v>
      </c>
      <c r="F962" s="1" t="s">
        <v>22</v>
      </c>
      <c r="G962" s="1">
        <v>3</v>
      </c>
      <c r="H962" s="1">
        <v>2924</v>
      </c>
      <c r="I962" s="1">
        <v>8772</v>
      </c>
      <c r="J962" s="1">
        <v>701.76</v>
      </c>
      <c r="K962" s="1">
        <v>0.08</v>
      </c>
      <c r="L962" s="1">
        <v>8070.24</v>
      </c>
      <c r="M962" s="1" t="s">
        <v>18</v>
      </c>
    </row>
    <row r="963" spans="1:13" x14ac:dyDescent="0.35">
      <c r="A963" s="1" t="s">
        <v>1253</v>
      </c>
      <c r="B963" s="2">
        <v>45218</v>
      </c>
      <c r="C963" s="1" t="s">
        <v>380</v>
      </c>
      <c r="D963" s="1" t="s">
        <v>1493</v>
      </c>
      <c r="E963" s="1" t="s">
        <v>26</v>
      </c>
      <c r="F963" s="1" t="s">
        <v>17</v>
      </c>
      <c r="G963" s="1">
        <v>1</v>
      </c>
      <c r="H963" s="1">
        <v>410</v>
      </c>
      <c r="I963" s="1">
        <v>410</v>
      </c>
      <c r="J963" s="1">
        <v>49.199999999999996</v>
      </c>
      <c r="K963" s="1">
        <v>0.12</v>
      </c>
      <c r="L963" s="1">
        <v>360.8</v>
      </c>
      <c r="M963" s="1" t="s">
        <v>18</v>
      </c>
    </row>
    <row r="964" spans="1:13" x14ac:dyDescent="0.35">
      <c r="A964" s="1" t="s">
        <v>1254</v>
      </c>
      <c r="B964" s="2">
        <v>45407</v>
      </c>
      <c r="C964" s="1" t="s">
        <v>873</v>
      </c>
      <c r="D964" s="1" t="s">
        <v>1490</v>
      </c>
      <c r="E964" s="1" t="s">
        <v>181</v>
      </c>
      <c r="F964" s="1" t="s">
        <v>22</v>
      </c>
      <c r="G964" s="1">
        <v>8</v>
      </c>
      <c r="H964" s="1">
        <v>3917</v>
      </c>
      <c r="I964" s="1">
        <v>31336</v>
      </c>
      <c r="J964" s="1">
        <v>3760.3199999999997</v>
      </c>
      <c r="K964" s="1">
        <v>0.12</v>
      </c>
      <c r="L964" s="1">
        <v>27575.68</v>
      </c>
      <c r="M964" s="1" t="s">
        <v>18</v>
      </c>
    </row>
    <row r="965" spans="1:13" x14ac:dyDescent="0.35">
      <c r="A965" s="1" t="s">
        <v>1255</v>
      </c>
      <c r="B965" s="2">
        <v>45649</v>
      </c>
      <c r="C965" s="1" t="s">
        <v>31</v>
      </c>
      <c r="D965" s="1" t="s">
        <v>1492</v>
      </c>
      <c r="E965" s="1" t="s">
        <v>32</v>
      </c>
      <c r="F965" s="1" t="s">
        <v>17</v>
      </c>
      <c r="G965" s="1">
        <v>5</v>
      </c>
      <c r="H965" s="1">
        <v>360</v>
      </c>
      <c r="I965" s="1">
        <v>1800</v>
      </c>
      <c r="J965" s="1">
        <v>324</v>
      </c>
      <c r="K965" s="1">
        <v>0.18</v>
      </c>
      <c r="L965" s="1">
        <v>1476</v>
      </c>
      <c r="M965" s="1" t="s">
        <v>18</v>
      </c>
    </row>
    <row r="966" spans="1:13" x14ac:dyDescent="0.35">
      <c r="A966" s="1" t="s">
        <v>1256</v>
      </c>
      <c r="B966" s="2">
        <v>45327</v>
      </c>
      <c r="C966" s="1" t="s">
        <v>210</v>
      </c>
      <c r="D966" s="1" t="s">
        <v>1490</v>
      </c>
      <c r="E966" s="1" t="s">
        <v>32</v>
      </c>
      <c r="F966" s="1" t="s">
        <v>17</v>
      </c>
      <c r="G966" s="1">
        <v>6</v>
      </c>
      <c r="H966" s="1">
        <v>360</v>
      </c>
      <c r="I966" s="1">
        <v>2160</v>
      </c>
      <c r="J966" s="1">
        <v>151.20000000000002</v>
      </c>
      <c r="K966" s="1">
        <v>7.0000000000000007E-2</v>
      </c>
      <c r="L966" s="1">
        <v>2008.8</v>
      </c>
      <c r="M966" s="1" t="s">
        <v>18</v>
      </c>
    </row>
    <row r="967" spans="1:13" x14ac:dyDescent="0.35">
      <c r="A967" s="1" t="s">
        <v>1257</v>
      </c>
      <c r="B967" s="2">
        <v>45165</v>
      </c>
      <c r="C967" s="1" t="s">
        <v>118</v>
      </c>
      <c r="D967" s="1" t="s">
        <v>1492</v>
      </c>
      <c r="E967" s="1" t="s">
        <v>48</v>
      </c>
      <c r="F967" s="1" t="s">
        <v>17</v>
      </c>
      <c r="G967" s="1">
        <v>6</v>
      </c>
      <c r="H967" s="1">
        <v>1687</v>
      </c>
      <c r="I967" s="1">
        <v>10122</v>
      </c>
      <c r="J967" s="1">
        <v>1619.52</v>
      </c>
      <c r="K967" s="1">
        <v>0.16</v>
      </c>
      <c r="L967" s="1">
        <v>8502.48</v>
      </c>
      <c r="M967" s="1" t="s">
        <v>18</v>
      </c>
    </row>
    <row r="968" spans="1:13" x14ac:dyDescent="0.35">
      <c r="A968" s="1" t="s">
        <v>1258</v>
      </c>
      <c r="B968" s="2">
        <v>45152</v>
      </c>
      <c r="C968" s="1" t="s">
        <v>292</v>
      </c>
      <c r="D968" s="1" t="s">
        <v>1490</v>
      </c>
      <c r="E968" s="1" t="s">
        <v>32</v>
      </c>
      <c r="F968" s="1" t="s">
        <v>17</v>
      </c>
      <c r="G968" s="1">
        <v>4</v>
      </c>
      <c r="H968" s="1">
        <v>4653</v>
      </c>
      <c r="I968" s="1">
        <v>18612</v>
      </c>
      <c r="J968" s="1">
        <v>4280.76</v>
      </c>
      <c r="K968" s="1">
        <v>0.23</v>
      </c>
      <c r="L968" s="1">
        <v>14331.24</v>
      </c>
      <c r="M968" s="1" t="s">
        <v>18</v>
      </c>
    </row>
    <row r="969" spans="1:13" x14ac:dyDescent="0.35">
      <c r="A969" s="1" t="s">
        <v>1259</v>
      </c>
      <c r="B969" s="2">
        <v>45448</v>
      </c>
      <c r="C969" s="1" t="s">
        <v>1260</v>
      </c>
      <c r="D969" s="1" t="s">
        <v>1492</v>
      </c>
      <c r="E969" s="1" t="s">
        <v>181</v>
      </c>
      <c r="F969" s="1" t="s">
        <v>22</v>
      </c>
      <c r="G969" s="1">
        <v>4</v>
      </c>
      <c r="H969" s="1">
        <v>4601</v>
      </c>
      <c r="I969" s="1">
        <v>18404</v>
      </c>
      <c r="J969" s="1">
        <v>3312.72</v>
      </c>
      <c r="K969" s="1">
        <v>0.18</v>
      </c>
      <c r="L969" s="1">
        <v>15091.28</v>
      </c>
      <c r="M969" s="1" t="s">
        <v>18</v>
      </c>
    </row>
    <row r="970" spans="1:13" x14ac:dyDescent="0.35">
      <c r="A970" s="1" t="s">
        <v>1261</v>
      </c>
      <c r="B970" s="2">
        <v>44934</v>
      </c>
      <c r="C970" s="1" t="s">
        <v>608</v>
      </c>
      <c r="D970" s="1" t="s">
        <v>1493</v>
      </c>
      <c r="E970" s="1" t="s">
        <v>189</v>
      </c>
      <c r="F970" s="1" t="s">
        <v>45</v>
      </c>
      <c r="G970" s="1">
        <v>3</v>
      </c>
      <c r="H970" s="1">
        <v>1816</v>
      </c>
      <c r="I970" s="1">
        <v>5448</v>
      </c>
      <c r="J970" s="1">
        <v>1253.04</v>
      </c>
      <c r="K970" s="1">
        <v>0.23</v>
      </c>
      <c r="L970" s="1">
        <v>4194.96</v>
      </c>
      <c r="M970" s="1" t="s">
        <v>18</v>
      </c>
    </row>
    <row r="971" spans="1:13" x14ac:dyDescent="0.35">
      <c r="A971" s="1" t="s">
        <v>1262</v>
      </c>
      <c r="B971" s="2">
        <v>45480</v>
      </c>
      <c r="C971" s="1" t="s">
        <v>216</v>
      </c>
      <c r="D971" s="1" t="s">
        <v>1493</v>
      </c>
      <c r="E971" s="1" t="s">
        <v>57</v>
      </c>
      <c r="F971" s="1" t="s">
        <v>45</v>
      </c>
      <c r="G971" s="1">
        <v>6</v>
      </c>
      <c r="H971" s="1">
        <v>4848</v>
      </c>
      <c r="I971" s="1">
        <v>29088</v>
      </c>
      <c r="J971" s="1">
        <v>7853.76</v>
      </c>
      <c r="K971" s="1">
        <v>0.27</v>
      </c>
      <c r="L971" s="1">
        <v>21234.240000000002</v>
      </c>
      <c r="M971" s="1" t="s">
        <v>18</v>
      </c>
    </row>
    <row r="972" spans="1:13" x14ac:dyDescent="0.35">
      <c r="A972" s="1" t="s">
        <v>1263</v>
      </c>
      <c r="B972" s="2">
        <v>45566</v>
      </c>
      <c r="C972" s="1" t="s">
        <v>50</v>
      </c>
      <c r="D972" s="1" t="s">
        <v>1492</v>
      </c>
      <c r="E972" s="1" t="s">
        <v>16</v>
      </c>
      <c r="F972" s="1" t="s">
        <v>17</v>
      </c>
      <c r="G972" s="1">
        <v>7</v>
      </c>
      <c r="H972" s="1">
        <v>4465</v>
      </c>
      <c r="I972" s="1">
        <v>31255</v>
      </c>
      <c r="J972" s="1">
        <v>3438.05</v>
      </c>
      <c r="K972" s="1">
        <v>0.11</v>
      </c>
      <c r="L972" s="1">
        <v>27816.95</v>
      </c>
      <c r="M972" s="1" t="s">
        <v>18</v>
      </c>
    </row>
    <row r="973" spans="1:13" x14ac:dyDescent="0.35">
      <c r="A973" s="1" t="s">
        <v>1264</v>
      </c>
      <c r="B973" s="2">
        <v>44995</v>
      </c>
      <c r="C973" s="1" t="s">
        <v>847</v>
      </c>
      <c r="D973" s="1" t="s">
        <v>1491</v>
      </c>
      <c r="E973" s="1" t="s">
        <v>60</v>
      </c>
      <c r="F973" s="1" t="s">
        <v>45</v>
      </c>
      <c r="G973" s="1">
        <v>6</v>
      </c>
      <c r="H973" s="1">
        <v>1836</v>
      </c>
      <c r="I973" s="1">
        <v>11016</v>
      </c>
      <c r="J973" s="1">
        <v>1542.2400000000002</v>
      </c>
      <c r="K973" s="1">
        <v>0.14000000000000001</v>
      </c>
      <c r="L973" s="1">
        <v>9473.76</v>
      </c>
      <c r="M973" s="1" t="s">
        <v>18</v>
      </c>
    </row>
    <row r="974" spans="1:13" x14ac:dyDescent="0.35">
      <c r="A974" s="1" t="s">
        <v>1265</v>
      </c>
      <c r="B974" s="2">
        <v>45468</v>
      </c>
      <c r="C974" s="1" t="s">
        <v>642</v>
      </c>
      <c r="D974" s="1" t="s">
        <v>1493</v>
      </c>
      <c r="E974" s="1" t="s">
        <v>26</v>
      </c>
      <c r="F974" s="1" t="s">
        <v>17</v>
      </c>
      <c r="G974" s="1">
        <v>1</v>
      </c>
      <c r="H974" s="1">
        <v>4537</v>
      </c>
      <c r="I974" s="1">
        <v>4537</v>
      </c>
      <c r="J974" s="1">
        <v>680.55</v>
      </c>
      <c r="K974" s="1">
        <v>0.15</v>
      </c>
      <c r="L974" s="1">
        <v>3856.45</v>
      </c>
      <c r="M974" s="1" t="s">
        <v>18</v>
      </c>
    </row>
    <row r="975" spans="1:13" x14ac:dyDescent="0.35">
      <c r="A975" s="1" t="s">
        <v>1266</v>
      </c>
      <c r="B975" s="2">
        <v>45386</v>
      </c>
      <c r="C975" s="1" t="s">
        <v>172</v>
      </c>
      <c r="D975" s="1" t="s">
        <v>1493</v>
      </c>
      <c r="E975" s="1" t="s">
        <v>57</v>
      </c>
      <c r="F975" s="1" t="s">
        <v>45</v>
      </c>
      <c r="G975" s="1">
        <v>3</v>
      </c>
      <c r="H975" s="1">
        <v>3880</v>
      </c>
      <c r="I975" s="1">
        <v>11640</v>
      </c>
      <c r="J975" s="1">
        <v>2560.8000000000002</v>
      </c>
      <c r="K975" s="1">
        <v>0.22</v>
      </c>
      <c r="L975" s="1">
        <v>9079.2000000000007</v>
      </c>
      <c r="M975" s="1" t="s">
        <v>18</v>
      </c>
    </row>
    <row r="976" spans="1:13" x14ac:dyDescent="0.35">
      <c r="A976" s="1" t="s">
        <v>1267</v>
      </c>
      <c r="B976" s="2">
        <v>45052</v>
      </c>
      <c r="C976" s="1" t="s">
        <v>432</v>
      </c>
      <c r="D976" s="1" t="s">
        <v>1490</v>
      </c>
      <c r="E976" s="1" t="s">
        <v>26</v>
      </c>
      <c r="F976" s="1" t="s">
        <v>17</v>
      </c>
      <c r="G976" s="1">
        <v>9</v>
      </c>
      <c r="H976" s="1">
        <v>2632</v>
      </c>
      <c r="I976" s="1">
        <v>23688</v>
      </c>
      <c r="J976" s="1">
        <v>4263.84</v>
      </c>
      <c r="K976" s="1">
        <v>0.18</v>
      </c>
      <c r="L976" s="1">
        <v>19424.16</v>
      </c>
      <c r="M976" s="1" t="s">
        <v>18</v>
      </c>
    </row>
    <row r="977" spans="1:13" x14ac:dyDescent="0.35">
      <c r="A977" s="1" t="s">
        <v>1268</v>
      </c>
      <c r="B977" s="2">
        <v>45311</v>
      </c>
      <c r="C977" s="1" t="s">
        <v>95</v>
      </c>
      <c r="D977" s="1" t="s">
        <v>1492</v>
      </c>
      <c r="E977" s="1" t="s">
        <v>181</v>
      </c>
      <c r="F977" s="1" t="s">
        <v>22</v>
      </c>
      <c r="G977" s="1">
        <v>10</v>
      </c>
      <c r="H977" s="1">
        <v>2771</v>
      </c>
      <c r="I977" s="1">
        <v>27710</v>
      </c>
      <c r="J977" s="1">
        <v>6650.4</v>
      </c>
      <c r="K977" s="1">
        <v>0.24</v>
      </c>
      <c r="L977" s="1">
        <v>21059.599999999999</v>
      </c>
      <c r="M977" s="1" t="s">
        <v>18</v>
      </c>
    </row>
    <row r="978" spans="1:13" x14ac:dyDescent="0.35">
      <c r="A978" s="1" t="s">
        <v>1269</v>
      </c>
      <c r="B978" s="2">
        <v>45599</v>
      </c>
      <c r="C978" s="1" t="s">
        <v>227</v>
      </c>
      <c r="D978" s="1" t="s">
        <v>1491</v>
      </c>
      <c r="E978" s="1" t="s">
        <v>48</v>
      </c>
      <c r="F978" s="1" t="s">
        <v>17</v>
      </c>
      <c r="G978" s="1">
        <v>8</v>
      </c>
      <c r="H978" s="1">
        <v>4407</v>
      </c>
      <c r="I978" s="1">
        <v>35256</v>
      </c>
      <c r="J978" s="1">
        <v>7051.2000000000007</v>
      </c>
      <c r="K978" s="1">
        <v>0.2</v>
      </c>
      <c r="L978" s="1">
        <v>28204.799999999999</v>
      </c>
      <c r="M978" s="1" t="s">
        <v>18</v>
      </c>
    </row>
    <row r="979" spans="1:13" x14ac:dyDescent="0.35">
      <c r="A979" s="1" t="s">
        <v>1270</v>
      </c>
      <c r="B979" s="2">
        <v>44999</v>
      </c>
      <c r="C979" s="1" t="s">
        <v>273</v>
      </c>
      <c r="D979" s="1" t="s">
        <v>1493</v>
      </c>
      <c r="E979" s="1" t="s">
        <v>60</v>
      </c>
      <c r="F979" s="1" t="s">
        <v>45</v>
      </c>
      <c r="G979" s="1">
        <v>2</v>
      </c>
      <c r="H979" s="1">
        <v>4696</v>
      </c>
      <c r="I979" s="1">
        <v>9392</v>
      </c>
      <c r="J979" s="1">
        <v>1127.04</v>
      </c>
      <c r="K979" s="1">
        <v>0.12</v>
      </c>
      <c r="L979" s="1">
        <v>8264.9599999999991</v>
      </c>
      <c r="M979" s="1" t="s">
        <v>18</v>
      </c>
    </row>
    <row r="980" spans="1:13" x14ac:dyDescent="0.35">
      <c r="A980" s="1" t="s">
        <v>1271</v>
      </c>
      <c r="B980" s="2">
        <v>45133</v>
      </c>
      <c r="C980" s="1" t="s">
        <v>443</v>
      </c>
      <c r="D980" s="1" t="s">
        <v>1493</v>
      </c>
      <c r="E980" s="1" t="s">
        <v>39</v>
      </c>
      <c r="F980" s="1" t="s">
        <v>22</v>
      </c>
      <c r="G980" s="1">
        <v>5</v>
      </c>
      <c r="H980" s="1">
        <v>554</v>
      </c>
      <c r="I980" s="1">
        <v>2770</v>
      </c>
      <c r="J980" s="1">
        <v>360.1</v>
      </c>
      <c r="K980" s="1">
        <v>0.13</v>
      </c>
      <c r="L980" s="1">
        <v>2409.9</v>
      </c>
      <c r="M980" s="1" t="s">
        <v>18</v>
      </c>
    </row>
    <row r="981" spans="1:13" x14ac:dyDescent="0.35">
      <c r="A981" s="1" t="s">
        <v>1272</v>
      </c>
      <c r="B981" s="2">
        <v>45056</v>
      </c>
      <c r="C981" s="1" t="s">
        <v>847</v>
      </c>
      <c r="D981" s="1" t="s">
        <v>1491</v>
      </c>
      <c r="E981" s="1" t="s">
        <v>44</v>
      </c>
      <c r="F981" s="1" t="s">
        <v>45</v>
      </c>
      <c r="G981" s="1">
        <v>5</v>
      </c>
      <c r="H981" s="1">
        <v>171</v>
      </c>
      <c r="I981" s="1">
        <v>855</v>
      </c>
      <c r="J981" s="1">
        <v>256.5</v>
      </c>
      <c r="K981" s="1">
        <v>0.3</v>
      </c>
      <c r="L981" s="1">
        <v>598.5</v>
      </c>
      <c r="M981" s="1" t="s">
        <v>18</v>
      </c>
    </row>
    <row r="982" spans="1:13" x14ac:dyDescent="0.35">
      <c r="A982" s="1" t="s">
        <v>1273</v>
      </c>
      <c r="B982" s="2">
        <v>45103</v>
      </c>
      <c r="C982" s="1" t="s">
        <v>830</v>
      </c>
      <c r="D982" s="1" t="s">
        <v>1493</v>
      </c>
      <c r="E982" s="1" t="s">
        <v>57</v>
      </c>
      <c r="F982" s="1" t="s">
        <v>45</v>
      </c>
      <c r="G982" s="1">
        <v>2</v>
      </c>
      <c r="H982" s="1">
        <v>4768</v>
      </c>
      <c r="I982" s="1">
        <v>9536</v>
      </c>
      <c r="J982" s="1">
        <v>190.72</v>
      </c>
      <c r="K982" s="1">
        <v>0.02</v>
      </c>
      <c r="L982" s="1">
        <v>9345.2800000000007</v>
      </c>
      <c r="M982" s="1" t="s">
        <v>18</v>
      </c>
    </row>
    <row r="983" spans="1:13" x14ac:dyDescent="0.35">
      <c r="A983" s="1" t="s">
        <v>1274</v>
      </c>
      <c r="B983" s="2">
        <v>45408</v>
      </c>
      <c r="C983" s="1" t="s">
        <v>210</v>
      </c>
      <c r="D983" s="1" t="s">
        <v>1490</v>
      </c>
      <c r="E983" s="1" t="s">
        <v>181</v>
      </c>
      <c r="F983" s="1" t="s">
        <v>22</v>
      </c>
      <c r="G983" s="1">
        <v>1</v>
      </c>
      <c r="H983" s="1">
        <v>2364</v>
      </c>
      <c r="I983" s="1">
        <v>2364</v>
      </c>
      <c r="J983" s="1">
        <v>520.08000000000004</v>
      </c>
      <c r="K983" s="1">
        <v>0.22</v>
      </c>
      <c r="L983" s="1">
        <v>1843.92</v>
      </c>
      <c r="M983" s="1" t="s">
        <v>18</v>
      </c>
    </row>
    <row r="984" spans="1:13" x14ac:dyDescent="0.35">
      <c r="A984" s="1" t="s">
        <v>1275</v>
      </c>
      <c r="B984" s="2">
        <v>44984</v>
      </c>
      <c r="C984" s="1" t="s">
        <v>277</v>
      </c>
      <c r="D984" s="1" t="s">
        <v>1490</v>
      </c>
      <c r="E984" s="1" t="s">
        <v>57</v>
      </c>
      <c r="F984" s="1" t="s">
        <v>45</v>
      </c>
      <c r="G984" s="1">
        <v>6</v>
      </c>
      <c r="H984" s="1">
        <v>2189</v>
      </c>
      <c r="I984" s="1">
        <v>13134</v>
      </c>
      <c r="J984" s="1">
        <v>1182.06</v>
      </c>
      <c r="K984" s="1">
        <v>0.09</v>
      </c>
      <c r="L984" s="1">
        <v>11951.94</v>
      </c>
      <c r="M984" s="1" t="s">
        <v>18</v>
      </c>
    </row>
    <row r="985" spans="1:13" x14ac:dyDescent="0.35">
      <c r="A985" s="1" t="s">
        <v>1276</v>
      </c>
      <c r="B985" s="2">
        <v>45481</v>
      </c>
      <c r="C985" s="1" t="s">
        <v>235</v>
      </c>
      <c r="D985" s="1" t="s">
        <v>1491</v>
      </c>
      <c r="E985" s="1" t="s">
        <v>26</v>
      </c>
      <c r="F985" s="1" t="s">
        <v>17</v>
      </c>
      <c r="G985" s="1">
        <v>8</v>
      </c>
      <c r="H985" s="1">
        <v>2751</v>
      </c>
      <c r="I985" s="1">
        <v>22008</v>
      </c>
      <c r="J985" s="1">
        <v>3521.28</v>
      </c>
      <c r="K985" s="1">
        <v>0.16</v>
      </c>
      <c r="L985" s="1">
        <v>18486.72</v>
      </c>
      <c r="M985" s="1" t="s">
        <v>18</v>
      </c>
    </row>
    <row r="986" spans="1:13" x14ac:dyDescent="0.35">
      <c r="A986" s="1" t="s">
        <v>1277</v>
      </c>
      <c r="B986" s="2">
        <v>45205</v>
      </c>
      <c r="C986" s="1" t="s">
        <v>572</v>
      </c>
      <c r="D986" s="1" t="s">
        <v>1491</v>
      </c>
      <c r="E986" s="1" t="s">
        <v>44</v>
      </c>
      <c r="F986" s="1" t="s">
        <v>45</v>
      </c>
      <c r="G986" s="1">
        <v>10</v>
      </c>
      <c r="H986" s="1">
        <v>1286</v>
      </c>
      <c r="I986" s="1">
        <v>12860</v>
      </c>
      <c r="J986" s="1">
        <v>1671.8</v>
      </c>
      <c r="K986" s="1">
        <v>0.13</v>
      </c>
      <c r="L986" s="1">
        <v>11188.2</v>
      </c>
      <c r="M986" s="1" t="s">
        <v>18</v>
      </c>
    </row>
    <row r="987" spans="1:13" x14ac:dyDescent="0.35">
      <c r="A987" s="1" t="s">
        <v>1278</v>
      </c>
      <c r="B987" s="2">
        <v>45033</v>
      </c>
      <c r="C987" s="1" t="s">
        <v>188</v>
      </c>
      <c r="D987" s="1" t="s">
        <v>1493</v>
      </c>
      <c r="E987" s="1" t="s">
        <v>57</v>
      </c>
      <c r="F987" s="1" t="s">
        <v>45</v>
      </c>
      <c r="G987" s="1">
        <v>7</v>
      </c>
      <c r="H987" s="1">
        <v>1535</v>
      </c>
      <c r="I987" s="1">
        <v>10745</v>
      </c>
      <c r="J987" s="1">
        <v>644.69999999999993</v>
      </c>
      <c r="K987" s="1">
        <v>0.06</v>
      </c>
      <c r="L987" s="1">
        <v>10100.299999999999</v>
      </c>
      <c r="M987" s="1" t="s">
        <v>18</v>
      </c>
    </row>
    <row r="988" spans="1:13" x14ac:dyDescent="0.35">
      <c r="A988" s="1" t="s">
        <v>1279</v>
      </c>
      <c r="B988" s="2">
        <v>45593</v>
      </c>
      <c r="C988" s="1" t="s">
        <v>62</v>
      </c>
      <c r="D988" s="1" t="s">
        <v>1492</v>
      </c>
      <c r="E988" s="1" t="s">
        <v>60</v>
      </c>
      <c r="F988" s="1" t="s">
        <v>45</v>
      </c>
      <c r="G988" s="1">
        <v>2</v>
      </c>
      <c r="H988" s="1">
        <v>1250</v>
      </c>
      <c r="I988" s="1">
        <v>2500</v>
      </c>
      <c r="J988" s="1">
        <v>150</v>
      </c>
      <c r="K988" s="1">
        <v>0.06</v>
      </c>
      <c r="L988" s="1">
        <v>2350</v>
      </c>
      <c r="M988" s="1" t="s">
        <v>18</v>
      </c>
    </row>
    <row r="989" spans="1:13" x14ac:dyDescent="0.35">
      <c r="A989" s="1" t="s">
        <v>1280</v>
      </c>
      <c r="B989" s="2">
        <v>45367</v>
      </c>
      <c r="C989" s="1" t="s">
        <v>227</v>
      </c>
      <c r="D989" s="1" t="s">
        <v>1491</v>
      </c>
      <c r="E989" s="1" t="s">
        <v>39</v>
      </c>
      <c r="F989" s="1" t="s">
        <v>22</v>
      </c>
      <c r="G989" s="1">
        <v>2</v>
      </c>
      <c r="H989" s="1">
        <v>3954</v>
      </c>
      <c r="I989" s="1">
        <v>7908</v>
      </c>
      <c r="J989" s="1">
        <v>1265.28</v>
      </c>
      <c r="K989" s="1">
        <v>0.16</v>
      </c>
      <c r="L989" s="1">
        <v>6642.72</v>
      </c>
      <c r="M989" s="1" t="s">
        <v>18</v>
      </c>
    </row>
    <row r="990" spans="1:13" x14ac:dyDescent="0.35">
      <c r="A990" s="1" t="s">
        <v>1281</v>
      </c>
      <c r="B990" s="2">
        <v>45511</v>
      </c>
      <c r="C990" s="1" t="s">
        <v>582</v>
      </c>
      <c r="D990" s="1" t="s">
        <v>1490</v>
      </c>
      <c r="E990" s="1" t="s">
        <v>32</v>
      </c>
      <c r="F990" s="1" t="s">
        <v>17</v>
      </c>
      <c r="G990" s="1">
        <v>2</v>
      </c>
      <c r="H990" s="1">
        <v>4889</v>
      </c>
      <c r="I990" s="1">
        <v>9778</v>
      </c>
      <c r="J990" s="1">
        <v>391.12</v>
      </c>
      <c r="K990" s="1">
        <v>0.04</v>
      </c>
      <c r="L990" s="1">
        <v>9386.8799999999992</v>
      </c>
      <c r="M990" s="1" t="s">
        <v>18</v>
      </c>
    </row>
    <row r="991" spans="1:13" x14ac:dyDescent="0.35">
      <c r="A991" s="1" t="s">
        <v>1282</v>
      </c>
      <c r="B991" s="2">
        <v>45007</v>
      </c>
      <c r="C991" s="1" t="s">
        <v>254</v>
      </c>
      <c r="D991" s="1" t="s">
        <v>1490</v>
      </c>
      <c r="E991" s="1" t="s">
        <v>26</v>
      </c>
      <c r="F991" s="1" t="s">
        <v>17</v>
      </c>
      <c r="G991" s="1">
        <v>5</v>
      </c>
      <c r="H991" s="1">
        <v>2326</v>
      </c>
      <c r="I991" s="1">
        <v>11630</v>
      </c>
      <c r="J991" s="1">
        <v>1977.1000000000001</v>
      </c>
      <c r="K991" s="1">
        <v>0.17</v>
      </c>
      <c r="L991" s="1">
        <v>9652.9</v>
      </c>
      <c r="M991" s="1" t="s">
        <v>18</v>
      </c>
    </row>
    <row r="992" spans="1:13" x14ac:dyDescent="0.35">
      <c r="A992" s="1" t="s">
        <v>1283</v>
      </c>
      <c r="B992" s="2">
        <v>45205</v>
      </c>
      <c r="C992" s="1" t="s">
        <v>125</v>
      </c>
      <c r="D992" s="1" t="s">
        <v>1492</v>
      </c>
      <c r="E992" s="1" t="s">
        <v>57</v>
      </c>
      <c r="F992" s="1" t="s">
        <v>45</v>
      </c>
      <c r="G992" s="1">
        <v>4</v>
      </c>
      <c r="H992" s="1">
        <v>3134</v>
      </c>
      <c r="I992" s="1">
        <v>12536</v>
      </c>
      <c r="J992" s="1">
        <v>2256.48</v>
      </c>
      <c r="K992" s="1">
        <v>0.18</v>
      </c>
      <c r="L992" s="1">
        <v>10279.52</v>
      </c>
      <c r="M992" s="1" t="s">
        <v>18</v>
      </c>
    </row>
    <row r="993" spans="1:13" x14ac:dyDescent="0.35">
      <c r="A993" s="1" t="s">
        <v>1284</v>
      </c>
      <c r="B993" s="2">
        <v>45077</v>
      </c>
      <c r="C993" s="1" t="s">
        <v>394</v>
      </c>
      <c r="D993" s="1" t="s">
        <v>1491</v>
      </c>
      <c r="E993" s="1" t="s">
        <v>39</v>
      </c>
      <c r="F993" s="1" t="s">
        <v>22</v>
      </c>
      <c r="G993" s="1">
        <v>7</v>
      </c>
      <c r="H993" s="1">
        <v>2846</v>
      </c>
      <c r="I993" s="1">
        <v>19922</v>
      </c>
      <c r="J993" s="1">
        <v>3386.7400000000002</v>
      </c>
      <c r="K993" s="1">
        <v>0.17</v>
      </c>
      <c r="L993" s="1">
        <v>16535.259999999998</v>
      </c>
      <c r="M993" s="1" t="s">
        <v>18</v>
      </c>
    </row>
    <row r="994" spans="1:13" x14ac:dyDescent="0.35">
      <c r="A994" s="1" t="s">
        <v>1285</v>
      </c>
      <c r="B994" s="2">
        <v>44938</v>
      </c>
      <c r="C994" s="1" t="s">
        <v>225</v>
      </c>
      <c r="D994" s="1" t="s">
        <v>1490</v>
      </c>
      <c r="E994" s="1" t="s">
        <v>39</v>
      </c>
      <c r="F994" s="1" t="s">
        <v>22</v>
      </c>
      <c r="G994" s="1">
        <v>8</v>
      </c>
      <c r="H994" s="1">
        <v>798</v>
      </c>
      <c r="I994" s="1">
        <v>6384</v>
      </c>
      <c r="J994" s="1">
        <v>1404.48</v>
      </c>
      <c r="K994" s="1">
        <v>0.22</v>
      </c>
      <c r="L994" s="1">
        <v>4979.5200000000004</v>
      </c>
      <c r="M994" s="1" t="s">
        <v>18</v>
      </c>
    </row>
    <row r="995" spans="1:13" x14ac:dyDescent="0.35">
      <c r="A995" s="1" t="s">
        <v>1286</v>
      </c>
      <c r="B995" s="2">
        <v>45238</v>
      </c>
      <c r="C995" s="1" t="s">
        <v>97</v>
      </c>
      <c r="D995" s="1" t="s">
        <v>1491</v>
      </c>
      <c r="E995" s="1" t="s">
        <v>189</v>
      </c>
      <c r="F995" s="1" t="s">
        <v>45</v>
      </c>
      <c r="G995" s="1">
        <v>9</v>
      </c>
      <c r="H995" s="1">
        <v>4320</v>
      </c>
      <c r="I995" s="1">
        <v>38880</v>
      </c>
      <c r="J995" s="1">
        <v>2332.7999999999997</v>
      </c>
      <c r="K995" s="1">
        <v>0.06</v>
      </c>
      <c r="L995" s="1">
        <v>36547.199999999997</v>
      </c>
      <c r="M995" s="1" t="s">
        <v>18</v>
      </c>
    </row>
    <row r="996" spans="1:13" x14ac:dyDescent="0.35">
      <c r="A996" s="1" t="s">
        <v>1287</v>
      </c>
      <c r="B996" s="2">
        <v>45591</v>
      </c>
      <c r="C996" s="1" t="s">
        <v>172</v>
      </c>
      <c r="D996" s="1" t="s">
        <v>1493</v>
      </c>
      <c r="E996" s="1" t="s">
        <v>39</v>
      </c>
      <c r="F996" s="1" t="s">
        <v>22</v>
      </c>
      <c r="G996" s="1">
        <v>3</v>
      </c>
      <c r="H996" s="1">
        <v>1623</v>
      </c>
      <c r="I996" s="1">
        <v>4869</v>
      </c>
      <c r="J996" s="1">
        <v>1168.56</v>
      </c>
      <c r="K996" s="1">
        <v>0.24</v>
      </c>
      <c r="L996" s="1">
        <v>3700.44</v>
      </c>
      <c r="M996" s="1" t="s">
        <v>18</v>
      </c>
    </row>
    <row r="997" spans="1:13" x14ac:dyDescent="0.35">
      <c r="A997" s="1" t="s">
        <v>1288</v>
      </c>
      <c r="B997" s="2">
        <v>45618</v>
      </c>
      <c r="C997" s="1" t="s">
        <v>317</v>
      </c>
      <c r="D997" s="1" t="s">
        <v>1490</v>
      </c>
      <c r="E997" s="1" t="s">
        <v>44</v>
      </c>
      <c r="F997" s="1" t="s">
        <v>45</v>
      </c>
      <c r="G997" s="1">
        <v>7</v>
      </c>
      <c r="H997" s="1">
        <v>4024</v>
      </c>
      <c r="I997" s="1">
        <v>28168</v>
      </c>
      <c r="J997" s="1">
        <v>281.68</v>
      </c>
      <c r="K997" s="1">
        <v>0.01</v>
      </c>
      <c r="L997" s="1">
        <v>27886.32</v>
      </c>
      <c r="M997" s="1" t="s">
        <v>18</v>
      </c>
    </row>
    <row r="998" spans="1:13" x14ac:dyDescent="0.35">
      <c r="A998" s="1" t="s">
        <v>1289</v>
      </c>
      <c r="B998" s="2">
        <v>45592</v>
      </c>
      <c r="C998" s="1" t="s">
        <v>696</v>
      </c>
      <c r="D998" s="1" t="s">
        <v>1492</v>
      </c>
      <c r="E998" s="1" t="s">
        <v>189</v>
      </c>
      <c r="F998" s="1" t="s">
        <v>45</v>
      </c>
      <c r="G998" s="1">
        <v>6</v>
      </c>
      <c r="H998" s="1">
        <v>1807</v>
      </c>
      <c r="I998" s="1">
        <v>10842</v>
      </c>
      <c r="J998" s="1">
        <v>3144.18</v>
      </c>
      <c r="K998" s="1">
        <v>0.28999999999999998</v>
      </c>
      <c r="L998" s="1">
        <v>7697.82</v>
      </c>
      <c r="M998" s="1" t="s">
        <v>18</v>
      </c>
    </row>
    <row r="999" spans="1:13" x14ac:dyDescent="0.35">
      <c r="A999" s="1" t="s">
        <v>1290</v>
      </c>
      <c r="B999" s="2">
        <v>45276</v>
      </c>
      <c r="C999" s="1" t="s">
        <v>292</v>
      </c>
      <c r="D999" s="1" t="s">
        <v>1490</v>
      </c>
      <c r="E999" s="1" t="s">
        <v>32</v>
      </c>
      <c r="F999" s="1" t="s">
        <v>17</v>
      </c>
      <c r="G999" s="1">
        <v>3</v>
      </c>
      <c r="H999" s="1">
        <v>1039</v>
      </c>
      <c r="I999" s="1">
        <v>3117</v>
      </c>
      <c r="J999" s="1">
        <v>436.38000000000005</v>
      </c>
      <c r="K999" s="1">
        <v>0.14000000000000001</v>
      </c>
      <c r="L999" s="1">
        <v>2680.62</v>
      </c>
      <c r="M999" s="1" t="s">
        <v>18</v>
      </c>
    </row>
    <row r="1000" spans="1:13" x14ac:dyDescent="0.35">
      <c r="A1000" s="1" t="s">
        <v>1291</v>
      </c>
      <c r="B1000" s="2">
        <v>45392</v>
      </c>
      <c r="C1000" s="1" t="s">
        <v>148</v>
      </c>
      <c r="D1000" s="1" t="s">
        <v>1493</v>
      </c>
      <c r="E1000" s="1" t="s">
        <v>60</v>
      </c>
      <c r="F1000" s="1" t="s">
        <v>45</v>
      </c>
      <c r="G1000" s="1">
        <v>5</v>
      </c>
      <c r="H1000" s="1">
        <v>1699</v>
      </c>
      <c r="I1000" s="1">
        <v>8495</v>
      </c>
      <c r="J1000" s="1">
        <v>1019.4</v>
      </c>
      <c r="K1000" s="1">
        <v>0.12</v>
      </c>
      <c r="L1000" s="1">
        <v>7475.6</v>
      </c>
      <c r="M1000" s="1" t="s">
        <v>18</v>
      </c>
    </row>
    <row r="1001" spans="1:13" x14ac:dyDescent="0.35">
      <c r="A1001" s="1" t="s">
        <v>1292</v>
      </c>
      <c r="B1001" s="2">
        <v>45581</v>
      </c>
      <c r="C1001" s="1" t="s">
        <v>254</v>
      </c>
      <c r="D1001" s="1" t="s">
        <v>1490</v>
      </c>
      <c r="E1001" s="1" t="s">
        <v>26</v>
      </c>
      <c r="F1001" s="1" t="s">
        <v>17</v>
      </c>
      <c r="G1001" s="1">
        <v>3</v>
      </c>
      <c r="H1001" s="1">
        <v>2713</v>
      </c>
      <c r="I1001" s="1">
        <v>8139</v>
      </c>
      <c r="J1001" s="1">
        <v>162.78</v>
      </c>
      <c r="K1001" s="1">
        <v>0.02</v>
      </c>
      <c r="L1001" s="1">
        <v>7976.22</v>
      </c>
      <c r="M1001" s="1" t="s">
        <v>18</v>
      </c>
    </row>
    <row r="1002" spans="1:13" x14ac:dyDescent="0.35">
      <c r="A1002" s="1" t="s">
        <v>1456</v>
      </c>
      <c r="B1002" s="2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>
        <f>SUBTOTAL(103,Sales_Data[value_cheking])</f>
        <v>1000</v>
      </c>
    </row>
    <row r="1004" spans="1:13" x14ac:dyDescent="0.35">
      <c r="B1004" s="2">
        <f>MAX(Sales_Data[Date])</f>
        <v>45657</v>
      </c>
      <c r="C1004" s="2">
        <f>MIN(Sales_Data[Date])</f>
        <v>44928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01"/>
  <sheetViews>
    <sheetView workbookViewId="0">
      <selection sqref="A1:D301"/>
    </sheetView>
  </sheetViews>
  <sheetFormatPr defaultRowHeight="14.5" x14ac:dyDescent="0.35"/>
  <cols>
    <col min="1" max="1" width="10.453125" bestFit="1" customWidth="1"/>
    <col min="3" max="3" width="18.54296875" bestFit="1" customWidth="1"/>
    <col min="4" max="4" width="9.90625" bestFit="1" customWidth="1"/>
    <col min="6" max="6" width="10.453125" bestFit="1" customWidth="1"/>
  </cols>
  <sheetData>
    <row r="1" spans="1:4" x14ac:dyDescent="0.35">
      <c r="A1" s="1" t="s">
        <v>1</v>
      </c>
      <c r="B1" s="1" t="s">
        <v>3</v>
      </c>
      <c r="C1" s="1" t="s">
        <v>63</v>
      </c>
      <c r="D1" s="1" t="s">
        <v>64</v>
      </c>
    </row>
    <row r="2" spans="1:4" x14ac:dyDescent="0.35">
      <c r="A2" s="2">
        <v>45491</v>
      </c>
      <c r="B2" s="1" t="s">
        <v>15</v>
      </c>
      <c r="C2" s="1" t="s">
        <v>65</v>
      </c>
      <c r="D2" s="1">
        <v>81023</v>
      </c>
    </row>
    <row r="3" spans="1:4" x14ac:dyDescent="0.35">
      <c r="A3" s="2">
        <v>45406</v>
      </c>
      <c r="B3" s="1" t="s">
        <v>15</v>
      </c>
      <c r="C3" s="1" t="s">
        <v>66</v>
      </c>
      <c r="D3" s="1">
        <v>62803</v>
      </c>
    </row>
    <row r="4" spans="1:4" x14ac:dyDescent="0.35">
      <c r="A4" s="2">
        <v>45430</v>
      </c>
      <c r="B4" s="1" t="s">
        <v>38</v>
      </c>
      <c r="C4" s="1" t="s">
        <v>65</v>
      </c>
      <c r="D4" s="1">
        <v>79191</v>
      </c>
    </row>
    <row r="5" spans="1:4" x14ac:dyDescent="0.35">
      <c r="A5" s="2">
        <v>45047</v>
      </c>
      <c r="B5" s="1" t="s">
        <v>15</v>
      </c>
      <c r="C5" s="1" t="s">
        <v>65</v>
      </c>
      <c r="D5" s="1">
        <v>90098</v>
      </c>
    </row>
    <row r="6" spans="1:4" x14ac:dyDescent="0.35">
      <c r="A6" s="2">
        <v>45345</v>
      </c>
      <c r="B6" s="1" t="s">
        <v>38</v>
      </c>
      <c r="C6" s="1" t="s">
        <v>66</v>
      </c>
      <c r="D6" s="1">
        <v>77510</v>
      </c>
    </row>
    <row r="7" spans="1:4" x14ac:dyDescent="0.35">
      <c r="A7" s="2">
        <v>45507</v>
      </c>
      <c r="B7" s="1" t="s">
        <v>25</v>
      </c>
      <c r="C7" s="1" t="s">
        <v>66</v>
      </c>
      <c r="D7" s="1">
        <v>78118</v>
      </c>
    </row>
    <row r="8" spans="1:4" x14ac:dyDescent="0.35">
      <c r="A8" s="2">
        <v>45069</v>
      </c>
      <c r="B8" s="1" t="s">
        <v>25</v>
      </c>
      <c r="C8" s="1" t="s">
        <v>67</v>
      </c>
      <c r="D8" s="1">
        <v>68139</v>
      </c>
    </row>
    <row r="9" spans="1:4" x14ac:dyDescent="0.35">
      <c r="A9" s="2">
        <v>45457</v>
      </c>
      <c r="B9" s="1" t="s">
        <v>35</v>
      </c>
      <c r="C9" s="1" t="s">
        <v>65</v>
      </c>
      <c r="D9" s="1">
        <v>89707</v>
      </c>
    </row>
    <row r="10" spans="1:4" x14ac:dyDescent="0.35">
      <c r="A10" s="2">
        <v>45138</v>
      </c>
      <c r="B10" s="1" t="s">
        <v>25</v>
      </c>
      <c r="C10" s="1" t="s">
        <v>66</v>
      </c>
      <c r="D10" s="1">
        <v>17981</v>
      </c>
    </row>
    <row r="11" spans="1:4" x14ac:dyDescent="0.35">
      <c r="A11" s="2">
        <v>45207</v>
      </c>
      <c r="B11" s="1" t="s">
        <v>35</v>
      </c>
      <c r="C11" s="1" t="s">
        <v>68</v>
      </c>
      <c r="D11" s="1">
        <v>90101</v>
      </c>
    </row>
    <row r="12" spans="1:4" x14ac:dyDescent="0.35">
      <c r="A12" s="2">
        <v>45262</v>
      </c>
      <c r="B12" s="1" t="s">
        <v>15</v>
      </c>
      <c r="C12" s="1" t="s">
        <v>68</v>
      </c>
      <c r="D12" s="1">
        <v>73074</v>
      </c>
    </row>
    <row r="13" spans="1:4" x14ac:dyDescent="0.35">
      <c r="A13" s="2">
        <v>45641</v>
      </c>
      <c r="B13" s="1" t="s">
        <v>35</v>
      </c>
      <c r="C13" s="1" t="s">
        <v>66</v>
      </c>
      <c r="D13" s="1">
        <v>95056</v>
      </c>
    </row>
    <row r="14" spans="1:4" x14ac:dyDescent="0.35">
      <c r="A14" s="2">
        <v>45194</v>
      </c>
      <c r="B14" s="1" t="s">
        <v>38</v>
      </c>
      <c r="C14" s="1" t="s">
        <v>66</v>
      </c>
      <c r="D14" s="1">
        <v>61811</v>
      </c>
    </row>
    <row r="15" spans="1:4" x14ac:dyDescent="0.35">
      <c r="A15" s="2">
        <v>45198</v>
      </c>
      <c r="B15" s="1" t="s">
        <v>35</v>
      </c>
      <c r="C15" s="1" t="s">
        <v>65</v>
      </c>
      <c r="D15" s="1">
        <v>60989</v>
      </c>
    </row>
    <row r="16" spans="1:4" x14ac:dyDescent="0.35">
      <c r="A16" s="2">
        <v>45085</v>
      </c>
      <c r="B16" s="1" t="s">
        <v>35</v>
      </c>
      <c r="C16" s="1" t="s">
        <v>67</v>
      </c>
      <c r="D16" s="1">
        <v>69280</v>
      </c>
    </row>
    <row r="17" spans="1:4" x14ac:dyDescent="0.35">
      <c r="A17" s="2">
        <v>45098</v>
      </c>
      <c r="B17" s="1" t="s">
        <v>25</v>
      </c>
      <c r="C17" s="1" t="s">
        <v>65</v>
      </c>
      <c r="D17" s="1">
        <v>5735</v>
      </c>
    </row>
    <row r="18" spans="1:4" x14ac:dyDescent="0.35">
      <c r="A18" s="2">
        <v>45503</v>
      </c>
      <c r="B18" s="1" t="s">
        <v>35</v>
      </c>
      <c r="C18" s="1" t="s">
        <v>69</v>
      </c>
      <c r="D18" s="1">
        <v>94034</v>
      </c>
    </row>
    <row r="19" spans="1:4" x14ac:dyDescent="0.35">
      <c r="A19" s="2">
        <v>45224</v>
      </c>
      <c r="B19" s="1" t="s">
        <v>15</v>
      </c>
      <c r="C19" s="1" t="s">
        <v>69</v>
      </c>
      <c r="D19" s="1">
        <v>48835</v>
      </c>
    </row>
    <row r="20" spans="1:4" x14ac:dyDescent="0.35">
      <c r="A20" s="2">
        <v>45553</v>
      </c>
      <c r="B20" s="1" t="s">
        <v>38</v>
      </c>
      <c r="C20" s="1" t="s">
        <v>66</v>
      </c>
      <c r="D20" s="1">
        <v>57206</v>
      </c>
    </row>
    <row r="21" spans="1:4" x14ac:dyDescent="0.35">
      <c r="A21" s="2">
        <v>45446</v>
      </c>
      <c r="B21" s="1" t="s">
        <v>38</v>
      </c>
      <c r="C21" s="1" t="s">
        <v>69</v>
      </c>
      <c r="D21" s="1">
        <v>50146</v>
      </c>
    </row>
    <row r="22" spans="1:4" x14ac:dyDescent="0.35">
      <c r="A22" s="2">
        <v>45564</v>
      </c>
      <c r="B22" s="1" t="s">
        <v>38</v>
      </c>
      <c r="C22" s="1" t="s">
        <v>66</v>
      </c>
      <c r="D22" s="1">
        <v>95078</v>
      </c>
    </row>
    <row r="23" spans="1:4" x14ac:dyDescent="0.35">
      <c r="A23" s="2">
        <v>45042</v>
      </c>
      <c r="B23" s="1" t="s">
        <v>15</v>
      </c>
      <c r="C23" s="1" t="s">
        <v>66</v>
      </c>
      <c r="D23" s="1">
        <v>80444</v>
      </c>
    </row>
    <row r="24" spans="1:4" x14ac:dyDescent="0.35">
      <c r="A24" s="2">
        <v>44939</v>
      </c>
      <c r="B24" s="1" t="s">
        <v>38</v>
      </c>
      <c r="C24" s="1" t="s">
        <v>68</v>
      </c>
      <c r="D24" s="1">
        <v>27745</v>
      </c>
    </row>
    <row r="25" spans="1:4" x14ac:dyDescent="0.35">
      <c r="A25" s="2">
        <v>45203</v>
      </c>
      <c r="B25" s="1" t="s">
        <v>35</v>
      </c>
      <c r="C25" s="1" t="s">
        <v>67</v>
      </c>
      <c r="D25" s="1">
        <v>85950</v>
      </c>
    </row>
    <row r="26" spans="1:4" x14ac:dyDescent="0.35">
      <c r="A26" s="2">
        <v>45512</v>
      </c>
      <c r="B26" s="1" t="s">
        <v>15</v>
      </c>
      <c r="C26" s="1" t="s">
        <v>67</v>
      </c>
      <c r="D26" s="1">
        <v>92179</v>
      </c>
    </row>
    <row r="27" spans="1:4" x14ac:dyDescent="0.35">
      <c r="A27" s="2">
        <v>45287</v>
      </c>
      <c r="B27" s="1" t="s">
        <v>38</v>
      </c>
      <c r="C27" s="1" t="s">
        <v>69</v>
      </c>
      <c r="D27" s="1">
        <v>75204</v>
      </c>
    </row>
    <row r="28" spans="1:4" x14ac:dyDescent="0.35">
      <c r="A28" s="2">
        <v>45261</v>
      </c>
      <c r="B28" s="1" t="s">
        <v>38</v>
      </c>
      <c r="C28" s="1" t="s">
        <v>67</v>
      </c>
      <c r="D28" s="1">
        <v>92193</v>
      </c>
    </row>
    <row r="29" spans="1:4" x14ac:dyDescent="0.35">
      <c r="A29" s="2">
        <v>45011</v>
      </c>
      <c r="B29" s="1" t="s">
        <v>15</v>
      </c>
      <c r="C29" s="1" t="s">
        <v>67</v>
      </c>
      <c r="D29" s="1">
        <v>47142</v>
      </c>
    </row>
    <row r="30" spans="1:4" x14ac:dyDescent="0.35">
      <c r="A30" s="2">
        <v>45462</v>
      </c>
      <c r="B30" s="1" t="s">
        <v>25</v>
      </c>
      <c r="C30" s="1" t="s">
        <v>67</v>
      </c>
      <c r="D30" s="1">
        <v>20402</v>
      </c>
    </row>
    <row r="31" spans="1:4" x14ac:dyDescent="0.35">
      <c r="A31" s="2">
        <v>45066</v>
      </c>
      <c r="B31" s="1" t="s">
        <v>25</v>
      </c>
      <c r="C31" s="1" t="s">
        <v>66</v>
      </c>
      <c r="D31" s="1">
        <v>44807</v>
      </c>
    </row>
    <row r="32" spans="1:4" x14ac:dyDescent="0.35">
      <c r="A32" s="2">
        <v>45193</v>
      </c>
      <c r="B32" s="1" t="s">
        <v>25</v>
      </c>
      <c r="C32" s="1" t="s">
        <v>65</v>
      </c>
      <c r="D32" s="1">
        <v>98619</v>
      </c>
    </row>
    <row r="33" spans="1:4" x14ac:dyDescent="0.35">
      <c r="A33" s="2">
        <v>45533</v>
      </c>
      <c r="B33" s="1" t="s">
        <v>15</v>
      </c>
      <c r="C33" s="1" t="s">
        <v>66</v>
      </c>
      <c r="D33" s="1">
        <v>73364</v>
      </c>
    </row>
    <row r="34" spans="1:4" x14ac:dyDescent="0.35">
      <c r="A34" s="2">
        <v>45628</v>
      </c>
      <c r="B34" s="1" t="s">
        <v>25</v>
      </c>
      <c r="C34" s="1" t="s">
        <v>66</v>
      </c>
      <c r="D34" s="1">
        <v>54548</v>
      </c>
    </row>
    <row r="35" spans="1:4" x14ac:dyDescent="0.35">
      <c r="A35" s="2">
        <v>45535</v>
      </c>
      <c r="B35" s="1" t="s">
        <v>15</v>
      </c>
      <c r="C35" s="1" t="s">
        <v>65</v>
      </c>
      <c r="D35" s="1">
        <v>76753</v>
      </c>
    </row>
    <row r="36" spans="1:4" x14ac:dyDescent="0.35">
      <c r="A36" s="2">
        <v>45405</v>
      </c>
      <c r="B36" s="1" t="s">
        <v>35</v>
      </c>
      <c r="C36" s="1" t="s">
        <v>67</v>
      </c>
      <c r="D36" s="1">
        <v>20675</v>
      </c>
    </row>
    <row r="37" spans="1:4" x14ac:dyDescent="0.35">
      <c r="A37" s="2">
        <v>45350</v>
      </c>
      <c r="B37" s="1" t="s">
        <v>35</v>
      </c>
      <c r="C37" s="1" t="s">
        <v>66</v>
      </c>
      <c r="D37" s="1">
        <v>87008</v>
      </c>
    </row>
    <row r="38" spans="1:4" x14ac:dyDescent="0.35">
      <c r="A38" s="2">
        <v>45142</v>
      </c>
      <c r="B38" s="1" t="s">
        <v>35</v>
      </c>
      <c r="C38" s="1" t="s">
        <v>65</v>
      </c>
      <c r="D38" s="1">
        <v>46271</v>
      </c>
    </row>
    <row r="39" spans="1:4" x14ac:dyDescent="0.35">
      <c r="A39" s="2">
        <v>44931</v>
      </c>
      <c r="B39" s="1" t="s">
        <v>38</v>
      </c>
      <c r="C39" s="1" t="s">
        <v>69</v>
      </c>
      <c r="D39" s="1">
        <v>36300</v>
      </c>
    </row>
    <row r="40" spans="1:4" x14ac:dyDescent="0.35">
      <c r="A40" s="2">
        <v>45287</v>
      </c>
      <c r="B40" s="1" t="s">
        <v>15</v>
      </c>
      <c r="C40" s="1" t="s">
        <v>65</v>
      </c>
      <c r="D40" s="1">
        <v>20851</v>
      </c>
    </row>
    <row r="41" spans="1:4" x14ac:dyDescent="0.35">
      <c r="A41" s="2">
        <v>45218</v>
      </c>
      <c r="B41" s="1" t="s">
        <v>35</v>
      </c>
      <c r="C41" s="1" t="s">
        <v>66</v>
      </c>
      <c r="D41" s="1">
        <v>83918</v>
      </c>
    </row>
    <row r="42" spans="1:4" x14ac:dyDescent="0.35">
      <c r="A42" s="2">
        <v>44933</v>
      </c>
      <c r="B42" s="1" t="s">
        <v>15</v>
      </c>
      <c r="C42" s="1" t="s">
        <v>65</v>
      </c>
      <c r="D42" s="1">
        <v>71083</v>
      </c>
    </row>
    <row r="43" spans="1:4" x14ac:dyDescent="0.35">
      <c r="A43" s="2">
        <v>45017</v>
      </c>
      <c r="B43" s="1" t="s">
        <v>25</v>
      </c>
      <c r="C43" s="1" t="s">
        <v>66</v>
      </c>
      <c r="D43" s="1">
        <v>99027</v>
      </c>
    </row>
    <row r="44" spans="1:4" x14ac:dyDescent="0.35">
      <c r="A44" s="2">
        <v>45134</v>
      </c>
      <c r="B44" s="1" t="s">
        <v>35</v>
      </c>
      <c r="C44" s="1" t="s">
        <v>68</v>
      </c>
      <c r="D44" s="1">
        <v>87754</v>
      </c>
    </row>
    <row r="45" spans="1:4" x14ac:dyDescent="0.35">
      <c r="A45" s="2">
        <v>45330</v>
      </c>
      <c r="B45" s="1" t="s">
        <v>25</v>
      </c>
      <c r="C45" s="1" t="s">
        <v>67</v>
      </c>
      <c r="D45" s="1">
        <v>91250</v>
      </c>
    </row>
    <row r="46" spans="1:4" x14ac:dyDescent="0.35">
      <c r="A46" s="2">
        <v>45536</v>
      </c>
      <c r="B46" s="1" t="s">
        <v>15</v>
      </c>
      <c r="C46" s="1" t="s">
        <v>69</v>
      </c>
      <c r="D46" s="1">
        <v>36459</v>
      </c>
    </row>
    <row r="47" spans="1:4" x14ac:dyDescent="0.35">
      <c r="A47" s="2">
        <v>45358</v>
      </c>
      <c r="B47" s="1" t="s">
        <v>25</v>
      </c>
      <c r="C47" s="1" t="s">
        <v>67</v>
      </c>
      <c r="D47" s="1">
        <v>96370</v>
      </c>
    </row>
    <row r="48" spans="1:4" x14ac:dyDescent="0.35">
      <c r="A48" s="2">
        <v>45294</v>
      </c>
      <c r="B48" s="1" t="s">
        <v>15</v>
      </c>
      <c r="C48" s="1" t="s">
        <v>67</v>
      </c>
      <c r="D48" s="1">
        <v>76911</v>
      </c>
    </row>
    <row r="49" spans="1:4" x14ac:dyDescent="0.35">
      <c r="A49" s="2">
        <v>45311</v>
      </c>
      <c r="B49" s="1" t="s">
        <v>15</v>
      </c>
      <c r="C49" s="1" t="s">
        <v>68</v>
      </c>
      <c r="D49" s="1">
        <v>24130</v>
      </c>
    </row>
    <row r="50" spans="1:4" x14ac:dyDescent="0.35">
      <c r="A50" s="2">
        <v>45318</v>
      </c>
      <c r="B50" s="1" t="s">
        <v>38</v>
      </c>
      <c r="C50" s="1" t="s">
        <v>66</v>
      </c>
      <c r="D50" s="1">
        <v>9093</v>
      </c>
    </row>
    <row r="51" spans="1:4" x14ac:dyDescent="0.35">
      <c r="A51" s="2">
        <v>45143</v>
      </c>
      <c r="B51" s="1" t="s">
        <v>38</v>
      </c>
      <c r="C51" s="1" t="s">
        <v>67</v>
      </c>
      <c r="D51" s="1">
        <v>74039</v>
      </c>
    </row>
    <row r="52" spans="1:4" x14ac:dyDescent="0.35">
      <c r="A52" s="2">
        <v>44976</v>
      </c>
      <c r="B52" s="1" t="s">
        <v>25</v>
      </c>
      <c r="C52" s="1" t="s">
        <v>66</v>
      </c>
      <c r="D52" s="1">
        <v>37556</v>
      </c>
    </row>
    <row r="53" spans="1:4" x14ac:dyDescent="0.35">
      <c r="A53" s="2">
        <v>45373</v>
      </c>
      <c r="B53" s="1" t="s">
        <v>38</v>
      </c>
      <c r="C53" s="1" t="s">
        <v>69</v>
      </c>
      <c r="D53" s="1">
        <v>58711</v>
      </c>
    </row>
    <row r="54" spans="1:4" x14ac:dyDescent="0.35">
      <c r="A54" s="2">
        <v>45339</v>
      </c>
      <c r="B54" s="1" t="s">
        <v>35</v>
      </c>
      <c r="C54" s="1" t="s">
        <v>68</v>
      </c>
      <c r="D54" s="1">
        <v>52379</v>
      </c>
    </row>
    <row r="55" spans="1:4" x14ac:dyDescent="0.35">
      <c r="A55" s="2">
        <v>45202</v>
      </c>
      <c r="B55" s="1" t="s">
        <v>38</v>
      </c>
      <c r="C55" s="1" t="s">
        <v>66</v>
      </c>
      <c r="D55" s="1">
        <v>81111</v>
      </c>
    </row>
    <row r="56" spans="1:4" x14ac:dyDescent="0.35">
      <c r="A56" s="2">
        <v>45352</v>
      </c>
      <c r="B56" s="1" t="s">
        <v>25</v>
      </c>
      <c r="C56" s="1" t="s">
        <v>67</v>
      </c>
      <c r="D56" s="1">
        <v>33497</v>
      </c>
    </row>
    <row r="57" spans="1:4" x14ac:dyDescent="0.35">
      <c r="A57" s="2">
        <v>45424</v>
      </c>
      <c r="B57" s="1" t="s">
        <v>35</v>
      </c>
      <c r="C57" s="1" t="s">
        <v>67</v>
      </c>
      <c r="D57" s="1">
        <v>96513</v>
      </c>
    </row>
    <row r="58" spans="1:4" x14ac:dyDescent="0.35">
      <c r="A58" s="2">
        <v>45052</v>
      </c>
      <c r="B58" s="1" t="s">
        <v>15</v>
      </c>
      <c r="C58" s="1" t="s">
        <v>67</v>
      </c>
      <c r="D58" s="1">
        <v>73578</v>
      </c>
    </row>
    <row r="59" spans="1:4" x14ac:dyDescent="0.35">
      <c r="A59" s="2">
        <v>45276</v>
      </c>
      <c r="B59" s="1" t="s">
        <v>35</v>
      </c>
      <c r="C59" s="1" t="s">
        <v>69</v>
      </c>
      <c r="D59" s="1">
        <v>45620</v>
      </c>
    </row>
    <row r="60" spans="1:4" x14ac:dyDescent="0.35">
      <c r="A60" s="2">
        <v>45202</v>
      </c>
      <c r="B60" s="1" t="s">
        <v>15</v>
      </c>
      <c r="C60" s="1" t="s">
        <v>67</v>
      </c>
      <c r="D60" s="1">
        <v>64892</v>
      </c>
    </row>
    <row r="61" spans="1:4" x14ac:dyDescent="0.35">
      <c r="A61" s="2">
        <v>45367</v>
      </c>
      <c r="B61" s="1" t="s">
        <v>38</v>
      </c>
      <c r="C61" s="1" t="s">
        <v>67</v>
      </c>
      <c r="D61" s="1">
        <v>87023</v>
      </c>
    </row>
    <row r="62" spans="1:4" x14ac:dyDescent="0.35">
      <c r="A62" s="2">
        <v>45205</v>
      </c>
      <c r="B62" s="1" t="s">
        <v>25</v>
      </c>
      <c r="C62" s="1" t="s">
        <v>69</v>
      </c>
      <c r="D62" s="1">
        <v>54635</v>
      </c>
    </row>
    <row r="63" spans="1:4" x14ac:dyDescent="0.35">
      <c r="A63" s="2">
        <v>45198</v>
      </c>
      <c r="B63" s="1" t="s">
        <v>38</v>
      </c>
      <c r="C63" s="1" t="s">
        <v>65</v>
      </c>
      <c r="D63" s="1">
        <v>51434</v>
      </c>
    </row>
    <row r="64" spans="1:4" x14ac:dyDescent="0.35">
      <c r="A64" s="2">
        <v>45109</v>
      </c>
      <c r="B64" s="1" t="s">
        <v>38</v>
      </c>
      <c r="C64" s="1" t="s">
        <v>69</v>
      </c>
      <c r="D64" s="1">
        <v>18703</v>
      </c>
    </row>
    <row r="65" spans="1:4" x14ac:dyDescent="0.35">
      <c r="A65" s="2">
        <v>45450</v>
      </c>
      <c r="B65" s="1" t="s">
        <v>35</v>
      </c>
      <c r="C65" s="1" t="s">
        <v>66</v>
      </c>
      <c r="D65" s="1">
        <v>6349</v>
      </c>
    </row>
    <row r="66" spans="1:4" x14ac:dyDescent="0.35">
      <c r="A66" s="2">
        <v>45145</v>
      </c>
      <c r="B66" s="1" t="s">
        <v>25</v>
      </c>
      <c r="C66" s="1" t="s">
        <v>68</v>
      </c>
      <c r="D66" s="1">
        <v>64458</v>
      </c>
    </row>
    <row r="67" spans="1:4" x14ac:dyDescent="0.35">
      <c r="A67" s="2">
        <v>45442</v>
      </c>
      <c r="B67" s="1" t="s">
        <v>15</v>
      </c>
      <c r="C67" s="1" t="s">
        <v>68</v>
      </c>
      <c r="D67" s="1">
        <v>55969</v>
      </c>
    </row>
    <row r="68" spans="1:4" x14ac:dyDescent="0.35">
      <c r="A68" s="2">
        <v>45142</v>
      </c>
      <c r="B68" s="1" t="s">
        <v>25</v>
      </c>
      <c r="C68" s="1" t="s">
        <v>68</v>
      </c>
      <c r="D68" s="1">
        <v>65822</v>
      </c>
    </row>
    <row r="69" spans="1:4" x14ac:dyDescent="0.35">
      <c r="A69" s="2">
        <v>45409</v>
      </c>
      <c r="B69" s="1" t="s">
        <v>25</v>
      </c>
      <c r="C69" s="1" t="s">
        <v>69</v>
      </c>
      <c r="D69" s="1">
        <v>53338</v>
      </c>
    </row>
    <row r="70" spans="1:4" x14ac:dyDescent="0.35">
      <c r="A70" s="2">
        <v>45310</v>
      </c>
      <c r="B70" s="1" t="s">
        <v>25</v>
      </c>
      <c r="C70" s="1" t="s">
        <v>67</v>
      </c>
      <c r="D70" s="1">
        <v>62209</v>
      </c>
    </row>
    <row r="71" spans="1:4" x14ac:dyDescent="0.35">
      <c r="A71" s="2">
        <v>44957</v>
      </c>
      <c r="B71" s="1" t="s">
        <v>35</v>
      </c>
      <c r="C71" s="1" t="s">
        <v>65</v>
      </c>
      <c r="D71" s="1">
        <v>85799</v>
      </c>
    </row>
    <row r="72" spans="1:4" x14ac:dyDescent="0.35">
      <c r="A72" s="2">
        <v>45630</v>
      </c>
      <c r="B72" s="1" t="s">
        <v>15</v>
      </c>
      <c r="C72" s="1" t="s">
        <v>66</v>
      </c>
      <c r="D72" s="1">
        <v>37325</v>
      </c>
    </row>
    <row r="73" spans="1:4" x14ac:dyDescent="0.35">
      <c r="A73" s="2">
        <v>44937</v>
      </c>
      <c r="B73" s="1" t="s">
        <v>15</v>
      </c>
      <c r="C73" s="1" t="s">
        <v>67</v>
      </c>
      <c r="D73" s="1">
        <v>90037</v>
      </c>
    </row>
    <row r="74" spans="1:4" x14ac:dyDescent="0.35">
      <c r="A74" s="2">
        <v>45105</v>
      </c>
      <c r="B74" s="1" t="s">
        <v>35</v>
      </c>
      <c r="C74" s="1" t="s">
        <v>65</v>
      </c>
      <c r="D74" s="1">
        <v>41374</v>
      </c>
    </row>
    <row r="75" spans="1:4" x14ac:dyDescent="0.35">
      <c r="A75" s="2">
        <v>45493</v>
      </c>
      <c r="B75" s="1" t="s">
        <v>15</v>
      </c>
      <c r="C75" s="1" t="s">
        <v>69</v>
      </c>
      <c r="D75" s="1">
        <v>73060</v>
      </c>
    </row>
    <row r="76" spans="1:4" x14ac:dyDescent="0.35">
      <c r="A76" s="2">
        <v>44954</v>
      </c>
      <c r="B76" s="1" t="s">
        <v>38</v>
      </c>
      <c r="C76" s="1" t="s">
        <v>67</v>
      </c>
      <c r="D76" s="1">
        <v>98500</v>
      </c>
    </row>
    <row r="77" spans="1:4" x14ac:dyDescent="0.35">
      <c r="A77" s="2">
        <v>45417</v>
      </c>
      <c r="B77" s="1" t="s">
        <v>38</v>
      </c>
      <c r="C77" s="1" t="s">
        <v>67</v>
      </c>
      <c r="D77" s="1">
        <v>14527</v>
      </c>
    </row>
    <row r="78" spans="1:4" x14ac:dyDescent="0.35">
      <c r="A78" s="2">
        <v>44957</v>
      </c>
      <c r="B78" s="1" t="s">
        <v>25</v>
      </c>
      <c r="C78" s="1" t="s">
        <v>67</v>
      </c>
      <c r="D78" s="1">
        <v>15757</v>
      </c>
    </row>
    <row r="79" spans="1:4" x14ac:dyDescent="0.35">
      <c r="A79" s="2">
        <v>45158</v>
      </c>
      <c r="B79" s="1" t="s">
        <v>25</v>
      </c>
      <c r="C79" s="1" t="s">
        <v>68</v>
      </c>
      <c r="D79" s="1">
        <v>31211</v>
      </c>
    </row>
    <row r="80" spans="1:4" x14ac:dyDescent="0.35">
      <c r="A80" s="2">
        <v>45165</v>
      </c>
      <c r="B80" s="1" t="s">
        <v>15</v>
      </c>
      <c r="C80" s="1" t="s">
        <v>68</v>
      </c>
      <c r="D80" s="1">
        <v>41738</v>
      </c>
    </row>
    <row r="81" spans="1:4" x14ac:dyDescent="0.35">
      <c r="A81" s="2">
        <v>45398</v>
      </c>
      <c r="B81" s="1" t="s">
        <v>25</v>
      </c>
      <c r="C81" s="1" t="s">
        <v>66</v>
      </c>
      <c r="D81" s="1">
        <v>77519</v>
      </c>
    </row>
    <row r="82" spans="1:4" x14ac:dyDescent="0.35">
      <c r="A82" s="2">
        <v>44953</v>
      </c>
      <c r="B82" s="1" t="s">
        <v>15</v>
      </c>
      <c r="C82" s="1" t="s">
        <v>69</v>
      </c>
      <c r="D82" s="1">
        <v>6146</v>
      </c>
    </row>
    <row r="83" spans="1:4" x14ac:dyDescent="0.35">
      <c r="A83" s="2">
        <v>45048</v>
      </c>
      <c r="B83" s="1" t="s">
        <v>35</v>
      </c>
      <c r="C83" s="1" t="s">
        <v>69</v>
      </c>
      <c r="D83" s="1">
        <v>75075</v>
      </c>
    </row>
    <row r="84" spans="1:4" x14ac:dyDescent="0.35">
      <c r="A84" s="2">
        <v>45332</v>
      </c>
      <c r="B84" s="1" t="s">
        <v>15</v>
      </c>
      <c r="C84" s="1" t="s">
        <v>67</v>
      </c>
      <c r="D84" s="1">
        <v>8494</v>
      </c>
    </row>
    <row r="85" spans="1:4" x14ac:dyDescent="0.35">
      <c r="A85" s="2">
        <v>45448</v>
      </c>
      <c r="B85" s="1" t="s">
        <v>15</v>
      </c>
      <c r="C85" s="1" t="s">
        <v>66</v>
      </c>
      <c r="D85" s="1">
        <v>78927</v>
      </c>
    </row>
    <row r="86" spans="1:4" x14ac:dyDescent="0.35">
      <c r="A86" s="2">
        <v>45583</v>
      </c>
      <c r="B86" s="1" t="s">
        <v>38</v>
      </c>
      <c r="C86" s="1" t="s">
        <v>68</v>
      </c>
      <c r="D86" s="1">
        <v>86687</v>
      </c>
    </row>
    <row r="87" spans="1:4" x14ac:dyDescent="0.35">
      <c r="A87" s="2">
        <v>45405</v>
      </c>
      <c r="B87" s="1" t="s">
        <v>38</v>
      </c>
      <c r="C87" s="1" t="s">
        <v>69</v>
      </c>
      <c r="D87" s="1">
        <v>79312</v>
      </c>
    </row>
    <row r="88" spans="1:4" x14ac:dyDescent="0.35">
      <c r="A88" s="2">
        <v>45590</v>
      </c>
      <c r="B88" s="1" t="s">
        <v>38</v>
      </c>
      <c r="C88" s="1" t="s">
        <v>68</v>
      </c>
      <c r="D88" s="1">
        <v>31630</v>
      </c>
    </row>
    <row r="89" spans="1:4" x14ac:dyDescent="0.35">
      <c r="A89" s="2">
        <v>45346</v>
      </c>
      <c r="B89" s="1" t="s">
        <v>35</v>
      </c>
      <c r="C89" s="1" t="s">
        <v>69</v>
      </c>
      <c r="D89" s="1">
        <v>22745</v>
      </c>
    </row>
    <row r="90" spans="1:4" x14ac:dyDescent="0.35">
      <c r="A90" s="2">
        <v>45274</v>
      </c>
      <c r="B90" s="1" t="s">
        <v>15</v>
      </c>
      <c r="C90" s="1" t="s">
        <v>69</v>
      </c>
      <c r="D90" s="1">
        <v>67708</v>
      </c>
    </row>
    <row r="91" spans="1:4" x14ac:dyDescent="0.35">
      <c r="A91" s="2">
        <v>45532</v>
      </c>
      <c r="B91" s="1" t="s">
        <v>38</v>
      </c>
      <c r="C91" s="1" t="s">
        <v>66</v>
      </c>
      <c r="D91" s="1">
        <v>72516</v>
      </c>
    </row>
    <row r="92" spans="1:4" x14ac:dyDescent="0.35">
      <c r="A92" s="2">
        <v>45384</v>
      </c>
      <c r="B92" s="1" t="s">
        <v>15</v>
      </c>
      <c r="C92" s="1" t="s">
        <v>69</v>
      </c>
      <c r="D92" s="1">
        <v>15661</v>
      </c>
    </row>
    <row r="93" spans="1:4" x14ac:dyDescent="0.35">
      <c r="A93" s="2">
        <v>45481</v>
      </c>
      <c r="B93" s="1" t="s">
        <v>15</v>
      </c>
      <c r="C93" s="1" t="s">
        <v>68</v>
      </c>
      <c r="D93" s="1">
        <v>71863</v>
      </c>
    </row>
    <row r="94" spans="1:4" x14ac:dyDescent="0.35">
      <c r="A94" s="2">
        <v>45122</v>
      </c>
      <c r="B94" s="1" t="s">
        <v>15</v>
      </c>
      <c r="C94" s="1" t="s">
        <v>66</v>
      </c>
      <c r="D94" s="1">
        <v>39107</v>
      </c>
    </row>
    <row r="95" spans="1:4" x14ac:dyDescent="0.35">
      <c r="A95" s="2">
        <v>45439</v>
      </c>
      <c r="B95" s="1" t="s">
        <v>38</v>
      </c>
      <c r="C95" s="1" t="s">
        <v>67</v>
      </c>
      <c r="D95" s="1">
        <v>66723</v>
      </c>
    </row>
    <row r="96" spans="1:4" x14ac:dyDescent="0.35">
      <c r="A96" s="2">
        <v>45359</v>
      </c>
      <c r="B96" s="1" t="s">
        <v>15</v>
      </c>
      <c r="C96" s="1" t="s">
        <v>68</v>
      </c>
      <c r="D96" s="1">
        <v>44740</v>
      </c>
    </row>
    <row r="97" spans="1:4" x14ac:dyDescent="0.35">
      <c r="A97" s="2">
        <v>45596</v>
      </c>
      <c r="B97" s="1" t="s">
        <v>38</v>
      </c>
      <c r="C97" s="1" t="s">
        <v>68</v>
      </c>
      <c r="D97" s="1">
        <v>58498</v>
      </c>
    </row>
    <row r="98" spans="1:4" x14ac:dyDescent="0.35">
      <c r="A98" s="2">
        <v>45199</v>
      </c>
      <c r="B98" s="1" t="s">
        <v>38</v>
      </c>
      <c r="C98" s="1" t="s">
        <v>66</v>
      </c>
      <c r="D98" s="1">
        <v>79113</v>
      </c>
    </row>
    <row r="99" spans="1:4" x14ac:dyDescent="0.35">
      <c r="A99" s="2">
        <v>45448</v>
      </c>
      <c r="B99" s="1" t="s">
        <v>15</v>
      </c>
      <c r="C99" s="1" t="s">
        <v>65</v>
      </c>
      <c r="D99" s="1">
        <v>98199</v>
      </c>
    </row>
    <row r="100" spans="1:4" x14ac:dyDescent="0.35">
      <c r="A100" s="2">
        <v>45393</v>
      </c>
      <c r="B100" s="1" t="s">
        <v>35</v>
      </c>
      <c r="C100" s="1" t="s">
        <v>67</v>
      </c>
      <c r="D100" s="1">
        <v>69831</v>
      </c>
    </row>
    <row r="101" spans="1:4" x14ac:dyDescent="0.35">
      <c r="A101" s="2">
        <v>44940</v>
      </c>
      <c r="B101" s="1" t="s">
        <v>35</v>
      </c>
      <c r="C101" s="1" t="s">
        <v>69</v>
      </c>
      <c r="D101" s="1">
        <v>82449</v>
      </c>
    </row>
    <row r="102" spans="1:4" x14ac:dyDescent="0.35">
      <c r="A102" s="2">
        <v>45330</v>
      </c>
      <c r="B102" s="1" t="s">
        <v>35</v>
      </c>
      <c r="C102" s="1" t="s">
        <v>67</v>
      </c>
      <c r="D102" s="1">
        <v>88995</v>
      </c>
    </row>
    <row r="103" spans="1:4" x14ac:dyDescent="0.35">
      <c r="A103" s="2">
        <v>45132</v>
      </c>
      <c r="B103" s="1" t="s">
        <v>35</v>
      </c>
      <c r="C103" s="1" t="s">
        <v>66</v>
      </c>
      <c r="D103" s="1">
        <v>62146</v>
      </c>
    </row>
    <row r="104" spans="1:4" x14ac:dyDescent="0.35">
      <c r="A104" s="2">
        <v>45522</v>
      </c>
      <c r="B104" s="1" t="s">
        <v>15</v>
      </c>
      <c r="C104" s="1" t="s">
        <v>69</v>
      </c>
      <c r="D104" s="1">
        <v>52284</v>
      </c>
    </row>
    <row r="105" spans="1:4" x14ac:dyDescent="0.35">
      <c r="A105" s="2">
        <v>45485</v>
      </c>
      <c r="B105" s="1" t="s">
        <v>35</v>
      </c>
      <c r="C105" s="1" t="s">
        <v>68</v>
      </c>
      <c r="D105" s="1">
        <v>42423</v>
      </c>
    </row>
    <row r="106" spans="1:4" x14ac:dyDescent="0.35">
      <c r="A106" s="2">
        <v>45071</v>
      </c>
      <c r="B106" s="1" t="s">
        <v>15</v>
      </c>
      <c r="C106" s="1" t="s">
        <v>69</v>
      </c>
      <c r="D106" s="1">
        <v>42902</v>
      </c>
    </row>
    <row r="107" spans="1:4" x14ac:dyDescent="0.35">
      <c r="A107" s="2">
        <v>45015</v>
      </c>
      <c r="B107" s="1" t="s">
        <v>38</v>
      </c>
      <c r="C107" s="1" t="s">
        <v>66</v>
      </c>
      <c r="D107" s="1">
        <v>75110</v>
      </c>
    </row>
    <row r="108" spans="1:4" x14ac:dyDescent="0.35">
      <c r="A108" s="2">
        <v>45655</v>
      </c>
      <c r="B108" s="1" t="s">
        <v>38</v>
      </c>
      <c r="C108" s="1" t="s">
        <v>68</v>
      </c>
      <c r="D108" s="1">
        <v>40891</v>
      </c>
    </row>
    <row r="109" spans="1:4" x14ac:dyDescent="0.35">
      <c r="A109" s="2">
        <v>44979</v>
      </c>
      <c r="B109" s="1" t="s">
        <v>38</v>
      </c>
      <c r="C109" s="1" t="s">
        <v>67</v>
      </c>
      <c r="D109" s="1">
        <v>9908</v>
      </c>
    </row>
    <row r="110" spans="1:4" x14ac:dyDescent="0.35">
      <c r="A110" s="2">
        <v>45455</v>
      </c>
      <c r="B110" s="1" t="s">
        <v>35</v>
      </c>
      <c r="C110" s="1" t="s">
        <v>66</v>
      </c>
      <c r="D110" s="1">
        <v>85883</v>
      </c>
    </row>
    <row r="111" spans="1:4" x14ac:dyDescent="0.35">
      <c r="A111" s="2">
        <v>45035</v>
      </c>
      <c r="B111" s="1" t="s">
        <v>38</v>
      </c>
      <c r="C111" s="1" t="s">
        <v>69</v>
      </c>
      <c r="D111" s="1">
        <v>72834</v>
      </c>
    </row>
    <row r="112" spans="1:4" x14ac:dyDescent="0.35">
      <c r="A112" s="2">
        <v>44933</v>
      </c>
      <c r="B112" s="1" t="s">
        <v>38</v>
      </c>
      <c r="C112" s="1" t="s">
        <v>66</v>
      </c>
      <c r="D112" s="1">
        <v>35430</v>
      </c>
    </row>
    <row r="113" spans="1:4" x14ac:dyDescent="0.35">
      <c r="A113" s="2">
        <v>45037</v>
      </c>
      <c r="B113" s="1" t="s">
        <v>35</v>
      </c>
      <c r="C113" s="1" t="s">
        <v>67</v>
      </c>
      <c r="D113" s="1">
        <v>92110</v>
      </c>
    </row>
    <row r="114" spans="1:4" x14ac:dyDescent="0.35">
      <c r="A114" s="2">
        <v>44970</v>
      </c>
      <c r="B114" s="1" t="s">
        <v>38</v>
      </c>
      <c r="C114" s="1" t="s">
        <v>68</v>
      </c>
      <c r="D114" s="1">
        <v>75755</v>
      </c>
    </row>
    <row r="115" spans="1:4" x14ac:dyDescent="0.35">
      <c r="A115" s="2">
        <v>45592</v>
      </c>
      <c r="B115" s="1" t="s">
        <v>25</v>
      </c>
      <c r="C115" s="1" t="s">
        <v>68</v>
      </c>
      <c r="D115" s="1">
        <v>79334</v>
      </c>
    </row>
    <row r="116" spans="1:4" x14ac:dyDescent="0.35">
      <c r="A116" s="2">
        <v>45411</v>
      </c>
      <c r="B116" s="1" t="s">
        <v>35</v>
      </c>
      <c r="C116" s="1" t="s">
        <v>69</v>
      </c>
      <c r="D116" s="1">
        <v>51288</v>
      </c>
    </row>
    <row r="117" spans="1:4" x14ac:dyDescent="0.35">
      <c r="A117" s="2">
        <v>45415</v>
      </c>
      <c r="B117" s="1" t="s">
        <v>35</v>
      </c>
      <c r="C117" s="1" t="s">
        <v>65</v>
      </c>
      <c r="D117" s="1">
        <v>69028</v>
      </c>
    </row>
    <row r="118" spans="1:4" x14ac:dyDescent="0.35">
      <c r="A118" s="2">
        <v>45573</v>
      </c>
      <c r="B118" s="1" t="s">
        <v>15</v>
      </c>
      <c r="C118" s="1" t="s">
        <v>65</v>
      </c>
      <c r="D118" s="1">
        <v>53680</v>
      </c>
    </row>
    <row r="119" spans="1:4" x14ac:dyDescent="0.35">
      <c r="A119" s="2">
        <v>45453</v>
      </c>
      <c r="B119" s="1" t="s">
        <v>35</v>
      </c>
      <c r="C119" s="1" t="s">
        <v>69</v>
      </c>
      <c r="D119" s="1">
        <v>52751</v>
      </c>
    </row>
    <row r="120" spans="1:4" x14ac:dyDescent="0.35">
      <c r="A120" s="2">
        <v>45505</v>
      </c>
      <c r="B120" s="1" t="s">
        <v>38</v>
      </c>
      <c r="C120" s="1" t="s">
        <v>67</v>
      </c>
      <c r="D120" s="1">
        <v>89626</v>
      </c>
    </row>
    <row r="121" spans="1:4" x14ac:dyDescent="0.35">
      <c r="A121" s="2">
        <v>45283</v>
      </c>
      <c r="B121" s="1" t="s">
        <v>25</v>
      </c>
      <c r="C121" s="1" t="s">
        <v>69</v>
      </c>
      <c r="D121" s="1">
        <v>62032</v>
      </c>
    </row>
    <row r="122" spans="1:4" x14ac:dyDescent="0.35">
      <c r="A122" s="2">
        <v>45294</v>
      </c>
      <c r="B122" s="1" t="s">
        <v>38</v>
      </c>
      <c r="C122" s="1" t="s">
        <v>67</v>
      </c>
      <c r="D122" s="1">
        <v>58070</v>
      </c>
    </row>
    <row r="123" spans="1:4" x14ac:dyDescent="0.35">
      <c r="A123" s="2">
        <v>44928</v>
      </c>
      <c r="B123" s="1" t="s">
        <v>15</v>
      </c>
      <c r="C123" s="1" t="s">
        <v>68</v>
      </c>
      <c r="D123" s="1">
        <v>41369</v>
      </c>
    </row>
    <row r="124" spans="1:4" x14ac:dyDescent="0.35">
      <c r="A124" s="2">
        <v>45419</v>
      </c>
      <c r="B124" s="1" t="s">
        <v>38</v>
      </c>
      <c r="C124" s="1" t="s">
        <v>67</v>
      </c>
      <c r="D124" s="1">
        <v>11645</v>
      </c>
    </row>
    <row r="125" spans="1:4" x14ac:dyDescent="0.35">
      <c r="A125" s="2">
        <v>45018</v>
      </c>
      <c r="B125" s="1" t="s">
        <v>15</v>
      </c>
      <c r="C125" s="1" t="s">
        <v>67</v>
      </c>
      <c r="D125" s="1">
        <v>26339</v>
      </c>
    </row>
    <row r="126" spans="1:4" x14ac:dyDescent="0.35">
      <c r="A126" s="2">
        <v>44974</v>
      </c>
      <c r="B126" s="1" t="s">
        <v>25</v>
      </c>
      <c r="C126" s="1" t="s">
        <v>67</v>
      </c>
      <c r="D126" s="1">
        <v>63823</v>
      </c>
    </row>
    <row r="127" spans="1:4" x14ac:dyDescent="0.35">
      <c r="A127" s="2">
        <v>45289</v>
      </c>
      <c r="B127" s="1" t="s">
        <v>35</v>
      </c>
      <c r="C127" s="1" t="s">
        <v>68</v>
      </c>
      <c r="D127" s="1">
        <v>40636</v>
      </c>
    </row>
    <row r="128" spans="1:4" x14ac:dyDescent="0.35">
      <c r="A128" s="2">
        <v>45045</v>
      </c>
      <c r="B128" s="1" t="s">
        <v>15</v>
      </c>
      <c r="C128" s="1" t="s">
        <v>66</v>
      </c>
      <c r="D128" s="1">
        <v>58495</v>
      </c>
    </row>
    <row r="129" spans="1:4" x14ac:dyDescent="0.35">
      <c r="A129" s="2">
        <v>45105</v>
      </c>
      <c r="B129" s="1" t="s">
        <v>25</v>
      </c>
      <c r="C129" s="1" t="s">
        <v>66</v>
      </c>
      <c r="D129" s="1">
        <v>65257</v>
      </c>
    </row>
    <row r="130" spans="1:4" x14ac:dyDescent="0.35">
      <c r="A130" s="2">
        <v>45515</v>
      </c>
      <c r="B130" s="1" t="s">
        <v>25</v>
      </c>
      <c r="C130" s="1" t="s">
        <v>68</v>
      </c>
      <c r="D130" s="1">
        <v>29797</v>
      </c>
    </row>
    <row r="131" spans="1:4" x14ac:dyDescent="0.35">
      <c r="A131" s="2">
        <v>44985</v>
      </c>
      <c r="B131" s="1" t="s">
        <v>25</v>
      </c>
      <c r="C131" s="1" t="s">
        <v>68</v>
      </c>
      <c r="D131" s="1">
        <v>68711</v>
      </c>
    </row>
    <row r="132" spans="1:4" x14ac:dyDescent="0.35">
      <c r="A132" s="2">
        <v>45418</v>
      </c>
      <c r="B132" s="1" t="s">
        <v>25</v>
      </c>
      <c r="C132" s="1" t="s">
        <v>66</v>
      </c>
      <c r="D132" s="1">
        <v>86043</v>
      </c>
    </row>
    <row r="133" spans="1:4" x14ac:dyDescent="0.35">
      <c r="A133" s="2">
        <v>45613</v>
      </c>
      <c r="B133" s="1" t="s">
        <v>38</v>
      </c>
      <c r="C133" s="1" t="s">
        <v>69</v>
      </c>
      <c r="D133" s="1">
        <v>6013</v>
      </c>
    </row>
    <row r="134" spans="1:4" x14ac:dyDescent="0.35">
      <c r="A134" s="2">
        <v>45387</v>
      </c>
      <c r="B134" s="1" t="s">
        <v>35</v>
      </c>
      <c r="C134" s="1" t="s">
        <v>67</v>
      </c>
      <c r="D134" s="1">
        <v>16043</v>
      </c>
    </row>
    <row r="135" spans="1:4" x14ac:dyDescent="0.35">
      <c r="A135" s="2">
        <v>44962</v>
      </c>
      <c r="B135" s="1" t="s">
        <v>35</v>
      </c>
      <c r="C135" s="1" t="s">
        <v>69</v>
      </c>
      <c r="D135" s="1">
        <v>39231</v>
      </c>
    </row>
    <row r="136" spans="1:4" x14ac:dyDescent="0.35">
      <c r="A136" s="2">
        <v>45407</v>
      </c>
      <c r="B136" s="1" t="s">
        <v>38</v>
      </c>
      <c r="C136" s="1" t="s">
        <v>69</v>
      </c>
      <c r="D136" s="1">
        <v>27409</v>
      </c>
    </row>
    <row r="137" spans="1:4" x14ac:dyDescent="0.35">
      <c r="A137" s="2">
        <v>45229</v>
      </c>
      <c r="B137" s="1" t="s">
        <v>25</v>
      </c>
      <c r="C137" s="1" t="s">
        <v>68</v>
      </c>
      <c r="D137" s="1">
        <v>44584</v>
      </c>
    </row>
    <row r="138" spans="1:4" x14ac:dyDescent="0.35">
      <c r="A138" s="2">
        <v>45100</v>
      </c>
      <c r="B138" s="1" t="s">
        <v>15</v>
      </c>
      <c r="C138" s="1" t="s">
        <v>67</v>
      </c>
      <c r="D138" s="1">
        <v>33425</v>
      </c>
    </row>
    <row r="139" spans="1:4" x14ac:dyDescent="0.35">
      <c r="A139" s="2">
        <v>45585</v>
      </c>
      <c r="B139" s="1" t="s">
        <v>38</v>
      </c>
      <c r="C139" s="1" t="s">
        <v>66</v>
      </c>
      <c r="D139" s="1">
        <v>20502</v>
      </c>
    </row>
    <row r="140" spans="1:4" x14ac:dyDescent="0.35">
      <c r="A140" s="2">
        <v>45025</v>
      </c>
      <c r="B140" s="1" t="s">
        <v>25</v>
      </c>
      <c r="C140" s="1" t="s">
        <v>66</v>
      </c>
      <c r="D140" s="1">
        <v>15474</v>
      </c>
    </row>
    <row r="141" spans="1:4" x14ac:dyDescent="0.35">
      <c r="A141" s="2">
        <v>45069</v>
      </c>
      <c r="B141" s="1" t="s">
        <v>15</v>
      </c>
      <c r="C141" s="1" t="s">
        <v>67</v>
      </c>
      <c r="D141" s="1">
        <v>94211</v>
      </c>
    </row>
    <row r="142" spans="1:4" x14ac:dyDescent="0.35">
      <c r="A142" s="2">
        <v>45421</v>
      </c>
      <c r="B142" s="1" t="s">
        <v>35</v>
      </c>
      <c r="C142" s="1" t="s">
        <v>67</v>
      </c>
      <c r="D142" s="1">
        <v>34858</v>
      </c>
    </row>
    <row r="143" spans="1:4" x14ac:dyDescent="0.35">
      <c r="A143" s="2">
        <v>45017</v>
      </c>
      <c r="B143" s="1" t="s">
        <v>15</v>
      </c>
      <c r="C143" s="1" t="s">
        <v>66</v>
      </c>
      <c r="D143" s="1">
        <v>37157</v>
      </c>
    </row>
    <row r="144" spans="1:4" x14ac:dyDescent="0.35">
      <c r="A144" s="2">
        <v>45261</v>
      </c>
      <c r="B144" s="1" t="s">
        <v>38</v>
      </c>
      <c r="C144" s="1" t="s">
        <v>65</v>
      </c>
      <c r="D144" s="1">
        <v>66834</v>
      </c>
    </row>
    <row r="145" spans="1:4" x14ac:dyDescent="0.35">
      <c r="A145" s="2">
        <v>45587</v>
      </c>
      <c r="B145" s="1" t="s">
        <v>15</v>
      </c>
      <c r="C145" s="1" t="s">
        <v>69</v>
      </c>
      <c r="D145" s="1">
        <v>74933</v>
      </c>
    </row>
    <row r="146" spans="1:4" x14ac:dyDescent="0.35">
      <c r="A146" s="2">
        <v>45504</v>
      </c>
      <c r="B146" s="1" t="s">
        <v>38</v>
      </c>
      <c r="C146" s="1" t="s">
        <v>67</v>
      </c>
      <c r="D146" s="1">
        <v>13985</v>
      </c>
    </row>
    <row r="147" spans="1:4" x14ac:dyDescent="0.35">
      <c r="A147" s="2">
        <v>45290</v>
      </c>
      <c r="B147" s="1" t="s">
        <v>15</v>
      </c>
      <c r="C147" s="1" t="s">
        <v>69</v>
      </c>
      <c r="D147" s="1">
        <v>73378</v>
      </c>
    </row>
    <row r="148" spans="1:4" x14ac:dyDescent="0.35">
      <c r="A148" s="2">
        <v>45225</v>
      </c>
      <c r="B148" s="1" t="s">
        <v>35</v>
      </c>
      <c r="C148" s="1" t="s">
        <v>68</v>
      </c>
      <c r="D148" s="1">
        <v>22796</v>
      </c>
    </row>
    <row r="149" spans="1:4" x14ac:dyDescent="0.35">
      <c r="A149" s="2">
        <v>45315</v>
      </c>
      <c r="B149" s="1" t="s">
        <v>38</v>
      </c>
      <c r="C149" s="1" t="s">
        <v>65</v>
      </c>
      <c r="D149" s="1">
        <v>85764</v>
      </c>
    </row>
    <row r="150" spans="1:4" x14ac:dyDescent="0.35">
      <c r="A150" s="2">
        <v>45016</v>
      </c>
      <c r="B150" s="1" t="s">
        <v>35</v>
      </c>
      <c r="C150" s="1" t="s">
        <v>67</v>
      </c>
      <c r="D150" s="1">
        <v>31513</v>
      </c>
    </row>
    <row r="151" spans="1:4" x14ac:dyDescent="0.35">
      <c r="A151" s="2">
        <v>45015</v>
      </c>
      <c r="B151" s="1" t="s">
        <v>25</v>
      </c>
      <c r="C151" s="1" t="s">
        <v>65</v>
      </c>
      <c r="D151" s="1">
        <v>30504</v>
      </c>
    </row>
    <row r="152" spans="1:4" x14ac:dyDescent="0.35">
      <c r="A152" s="2">
        <v>44931</v>
      </c>
      <c r="B152" s="1" t="s">
        <v>25</v>
      </c>
      <c r="C152" s="1" t="s">
        <v>69</v>
      </c>
      <c r="D152" s="1">
        <v>10604</v>
      </c>
    </row>
    <row r="153" spans="1:4" x14ac:dyDescent="0.35">
      <c r="A153" s="2">
        <v>45248</v>
      </c>
      <c r="B153" s="1" t="s">
        <v>15</v>
      </c>
      <c r="C153" s="1" t="s">
        <v>69</v>
      </c>
      <c r="D153" s="1">
        <v>44006</v>
      </c>
    </row>
    <row r="154" spans="1:4" x14ac:dyDescent="0.35">
      <c r="A154" s="2">
        <v>45453</v>
      </c>
      <c r="B154" s="1" t="s">
        <v>38</v>
      </c>
      <c r="C154" s="1" t="s">
        <v>66</v>
      </c>
      <c r="D154" s="1">
        <v>40613</v>
      </c>
    </row>
    <row r="155" spans="1:4" x14ac:dyDescent="0.35">
      <c r="A155" s="2">
        <v>45509</v>
      </c>
      <c r="B155" s="1" t="s">
        <v>25</v>
      </c>
      <c r="C155" s="1" t="s">
        <v>69</v>
      </c>
      <c r="D155" s="1">
        <v>92492</v>
      </c>
    </row>
    <row r="156" spans="1:4" x14ac:dyDescent="0.35">
      <c r="A156" s="2">
        <v>45306</v>
      </c>
      <c r="B156" s="1" t="s">
        <v>15</v>
      </c>
      <c r="C156" s="1" t="s">
        <v>67</v>
      </c>
      <c r="D156" s="1">
        <v>65783</v>
      </c>
    </row>
    <row r="157" spans="1:4" x14ac:dyDescent="0.35">
      <c r="A157" s="2">
        <v>45552</v>
      </c>
      <c r="B157" s="1" t="s">
        <v>35</v>
      </c>
      <c r="C157" s="1" t="s">
        <v>66</v>
      </c>
      <c r="D157" s="1">
        <v>8075</v>
      </c>
    </row>
    <row r="158" spans="1:4" x14ac:dyDescent="0.35">
      <c r="A158" s="2">
        <v>45365</v>
      </c>
      <c r="B158" s="1" t="s">
        <v>25</v>
      </c>
      <c r="C158" s="1" t="s">
        <v>68</v>
      </c>
      <c r="D158" s="1">
        <v>30653</v>
      </c>
    </row>
    <row r="159" spans="1:4" x14ac:dyDescent="0.35">
      <c r="A159" s="2">
        <v>45068</v>
      </c>
      <c r="B159" s="1" t="s">
        <v>25</v>
      </c>
      <c r="C159" s="1" t="s">
        <v>69</v>
      </c>
      <c r="D159" s="1">
        <v>75089</v>
      </c>
    </row>
    <row r="160" spans="1:4" x14ac:dyDescent="0.35">
      <c r="A160" s="2">
        <v>45262</v>
      </c>
      <c r="B160" s="1" t="s">
        <v>38</v>
      </c>
      <c r="C160" s="1" t="s">
        <v>68</v>
      </c>
      <c r="D160" s="1">
        <v>35900</v>
      </c>
    </row>
    <row r="161" spans="1:4" x14ac:dyDescent="0.35">
      <c r="A161" s="2">
        <v>45113</v>
      </c>
      <c r="B161" s="1" t="s">
        <v>25</v>
      </c>
      <c r="C161" s="1" t="s">
        <v>65</v>
      </c>
      <c r="D161" s="1">
        <v>44178</v>
      </c>
    </row>
    <row r="162" spans="1:4" x14ac:dyDescent="0.35">
      <c r="A162" s="2">
        <v>45616</v>
      </c>
      <c r="B162" s="1" t="s">
        <v>38</v>
      </c>
      <c r="C162" s="1" t="s">
        <v>69</v>
      </c>
      <c r="D162" s="1">
        <v>97609</v>
      </c>
    </row>
    <row r="163" spans="1:4" x14ac:dyDescent="0.35">
      <c r="A163" s="2">
        <v>45533</v>
      </c>
      <c r="B163" s="1" t="s">
        <v>35</v>
      </c>
      <c r="C163" s="1" t="s">
        <v>65</v>
      </c>
      <c r="D163" s="1">
        <v>64555</v>
      </c>
    </row>
    <row r="164" spans="1:4" x14ac:dyDescent="0.35">
      <c r="A164" s="2">
        <v>45145</v>
      </c>
      <c r="B164" s="1" t="s">
        <v>25</v>
      </c>
      <c r="C164" s="1" t="s">
        <v>69</v>
      </c>
      <c r="D164" s="1">
        <v>49472</v>
      </c>
    </row>
    <row r="165" spans="1:4" x14ac:dyDescent="0.35">
      <c r="A165" s="2">
        <v>45284</v>
      </c>
      <c r="B165" s="1" t="s">
        <v>38</v>
      </c>
      <c r="C165" s="1" t="s">
        <v>69</v>
      </c>
      <c r="D165" s="1">
        <v>19752</v>
      </c>
    </row>
    <row r="166" spans="1:4" x14ac:dyDescent="0.35">
      <c r="A166" s="2">
        <v>45047</v>
      </c>
      <c r="B166" s="1" t="s">
        <v>35</v>
      </c>
      <c r="C166" s="1" t="s">
        <v>65</v>
      </c>
      <c r="D166" s="1">
        <v>81301</v>
      </c>
    </row>
    <row r="167" spans="1:4" x14ac:dyDescent="0.35">
      <c r="A167" s="2">
        <v>45584</v>
      </c>
      <c r="B167" s="1" t="s">
        <v>25</v>
      </c>
      <c r="C167" s="1" t="s">
        <v>67</v>
      </c>
      <c r="D167" s="1">
        <v>28053</v>
      </c>
    </row>
    <row r="168" spans="1:4" x14ac:dyDescent="0.35">
      <c r="A168" s="2">
        <v>44933</v>
      </c>
      <c r="B168" s="1" t="s">
        <v>25</v>
      </c>
      <c r="C168" s="1" t="s">
        <v>68</v>
      </c>
      <c r="D168" s="1">
        <v>6236</v>
      </c>
    </row>
    <row r="169" spans="1:4" x14ac:dyDescent="0.35">
      <c r="A169" s="2">
        <v>45009</v>
      </c>
      <c r="B169" s="1" t="s">
        <v>15</v>
      </c>
      <c r="C169" s="1" t="s">
        <v>69</v>
      </c>
      <c r="D169" s="1">
        <v>97349</v>
      </c>
    </row>
    <row r="170" spans="1:4" x14ac:dyDescent="0.35">
      <c r="A170" s="2">
        <v>45345</v>
      </c>
      <c r="B170" s="1" t="s">
        <v>38</v>
      </c>
      <c r="C170" s="1" t="s">
        <v>66</v>
      </c>
      <c r="D170" s="1">
        <v>80580</v>
      </c>
    </row>
    <row r="171" spans="1:4" x14ac:dyDescent="0.35">
      <c r="A171" s="2">
        <v>45054</v>
      </c>
      <c r="B171" s="1" t="s">
        <v>15</v>
      </c>
      <c r="C171" s="1" t="s">
        <v>69</v>
      </c>
      <c r="D171" s="1">
        <v>99510</v>
      </c>
    </row>
    <row r="172" spans="1:4" x14ac:dyDescent="0.35">
      <c r="A172" s="2">
        <v>45629</v>
      </c>
      <c r="B172" s="1" t="s">
        <v>35</v>
      </c>
      <c r="C172" s="1" t="s">
        <v>65</v>
      </c>
      <c r="D172" s="1">
        <v>15492</v>
      </c>
    </row>
    <row r="173" spans="1:4" x14ac:dyDescent="0.35">
      <c r="A173" s="2">
        <v>45235</v>
      </c>
      <c r="B173" s="1" t="s">
        <v>15</v>
      </c>
      <c r="C173" s="1" t="s">
        <v>69</v>
      </c>
      <c r="D173" s="1">
        <v>73471</v>
      </c>
    </row>
    <row r="174" spans="1:4" x14ac:dyDescent="0.35">
      <c r="A174" s="2">
        <v>45140</v>
      </c>
      <c r="B174" s="1" t="s">
        <v>15</v>
      </c>
      <c r="C174" s="1" t="s">
        <v>65</v>
      </c>
      <c r="D174" s="1">
        <v>27798</v>
      </c>
    </row>
    <row r="175" spans="1:4" x14ac:dyDescent="0.35">
      <c r="A175" s="2">
        <v>44942</v>
      </c>
      <c r="B175" s="1" t="s">
        <v>38</v>
      </c>
      <c r="C175" s="1" t="s">
        <v>69</v>
      </c>
      <c r="D175" s="1">
        <v>58573</v>
      </c>
    </row>
    <row r="176" spans="1:4" x14ac:dyDescent="0.35">
      <c r="A176" s="2">
        <v>45643</v>
      </c>
      <c r="B176" s="1" t="s">
        <v>25</v>
      </c>
      <c r="C176" s="1" t="s">
        <v>66</v>
      </c>
      <c r="D176" s="1">
        <v>69471</v>
      </c>
    </row>
    <row r="177" spans="1:4" x14ac:dyDescent="0.35">
      <c r="A177" s="2">
        <v>45342</v>
      </c>
      <c r="B177" s="1" t="s">
        <v>35</v>
      </c>
      <c r="C177" s="1" t="s">
        <v>66</v>
      </c>
      <c r="D177" s="1">
        <v>78179</v>
      </c>
    </row>
    <row r="178" spans="1:4" x14ac:dyDescent="0.35">
      <c r="A178" s="2">
        <v>45360</v>
      </c>
      <c r="B178" s="1" t="s">
        <v>35</v>
      </c>
      <c r="C178" s="1" t="s">
        <v>65</v>
      </c>
      <c r="D178" s="1">
        <v>80605</v>
      </c>
    </row>
    <row r="179" spans="1:4" x14ac:dyDescent="0.35">
      <c r="A179" s="2">
        <v>45630</v>
      </c>
      <c r="B179" s="1" t="s">
        <v>35</v>
      </c>
      <c r="C179" s="1" t="s">
        <v>67</v>
      </c>
      <c r="D179" s="1">
        <v>32622</v>
      </c>
    </row>
    <row r="180" spans="1:4" x14ac:dyDescent="0.35">
      <c r="A180" s="2">
        <v>45328</v>
      </c>
      <c r="B180" s="1" t="s">
        <v>15</v>
      </c>
      <c r="C180" s="1" t="s">
        <v>69</v>
      </c>
      <c r="D180" s="1">
        <v>48830</v>
      </c>
    </row>
    <row r="181" spans="1:4" x14ac:dyDescent="0.35">
      <c r="A181" s="2">
        <v>45157</v>
      </c>
      <c r="B181" s="1" t="s">
        <v>35</v>
      </c>
      <c r="C181" s="1" t="s">
        <v>69</v>
      </c>
      <c r="D181" s="1">
        <v>43215</v>
      </c>
    </row>
    <row r="182" spans="1:4" x14ac:dyDescent="0.35">
      <c r="A182" s="2">
        <v>45346</v>
      </c>
      <c r="B182" s="1" t="s">
        <v>35</v>
      </c>
      <c r="C182" s="1" t="s">
        <v>68</v>
      </c>
      <c r="D182" s="1">
        <v>65862</v>
      </c>
    </row>
    <row r="183" spans="1:4" x14ac:dyDescent="0.35">
      <c r="A183" s="2">
        <v>45600</v>
      </c>
      <c r="B183" s="1" t="s">
        <v>38</v>
      </c>
      <c r="C183" s="1" t="s">
        <v>65</v>
      </c>
      <c r="D183" s="1">
        <v>16724</v>
      </c>
    </row>
    <row r="184" spans="1:4" x14ac:dyDescent="0.35">
      <c r="A184" s="2">
        <v>45256</v>
      </c>
      <c r="B184" s="1" t="s">
        <v>38</v>
      </c>
      <c r="C184" s="1" t="s">
        <v>65</v>
      </c>
      <c r="D184" s="1">
        <v>47028</v>
      </c>
    </row>
    <row r="185" spans="1:4" x14ac:dyDescent="0.35">
      <c r="A185" s="2">
        <v>45142</v>
      </c>
      <c r="B185" s="1" t="s">
        <v>35</v>
      </c>
      <c r="C185" s="1" t="s">
        <v>67</v>
      </c>
      <c r="D185" s="1">
        <v>75642</v>
      </c>
    </row>
    <row r="186" spans="1:4" x14ac:dyDescent="0.35">
      <c r="A186" s="2">
        <v>45477</v>
      </c>
      <c r="B186" s="1" t="s">
        <v>38</v>
      </c>
      <c r="C186" s="1" t="s">
        <v>69</v>
      </c>
      <c r="D186" s="1">
        <v>65216</v>
      </c>
    </row>
    <row r="187" spans="1:4" x14ac:dyDescent="0.35">
      <c r="A187" s="2">
        <v>45437</v>
      </c>
      <c r="B187" s="1" t="s">
        <v>38</v>
      </c>
      <c r="C187" s="1" t="s">
        <v>68</v>
      </c>
      <c r="D187" s="1">
        <v>12955</v>
      </c>
    </row>
    <row r="188" spans="1:4" x14ac:dyDescent="0.35">
      <c r="A188" s="2">
        <v>45084</v>
      </c>
      <c r="B188" s="1" t="s">
        <v>15</v>
      </c>
      <c r="C188" s="1" t="s">
        <v>66</v>
      </c>
      <c r="D188" s="1">
        <v>67222</v>
      </c>
    </row>
    <row r="189" spans="1:4" x14ac:dyDescent="0.35">
      <c r="A189" s="2">
        <v>45128</v>
      </c>
      <c r="B189" s="1" t="s">
        <v>25</v>
      </c>
      <c r="C189" s="1" t="s">
        <v>67</v>
      </c>
      <c r="D189" s="1">
        <v>33276</v>
      </c>
    </row>
    <row r="190" spans="1:4" x14ac:dyDescent="0.35">
      <c r="A190" s="2">
        <v>45602</v>
      </c>
      <c r="B190" s="1" t="s">
        <v>35</v>
      </c>
      <c r="C190" s="1" t="s">
        <v>68</v>
      </c>
      <c r="D190" s="1">
        <v>73239</v>
      </c>
    </row>
    <row r="191" spans="1:4" x14ac:dyDescent="0.35">
      <c r="A191" s="2">
        <v>45412</v>
      </c>
      <c r="B191" s="1" t="s">
        <v>38</v>
      </c>
      <c r="C191" s="1" t="s">
        <v>68</v>
      </c>
      <c r="D191" s="1">
        <v>97616</v>
      </c>
    </row>
    <row r="192" spans="1:4" x14ac:dyDescent="0.35">
      <c r="A192" s="2">
        <v>45348</v>
      </c>
      <c r="B192" s="1" t="s">
        <v>15</v>
      </c>
      <c r="C192" s="1" t="s">
        <v>66</v>
      </c>
      <c r="D192" s="1">
        <v>66639</v>
      </c>
    </row>
    <row r="193" spans="1:4" x14ac:dyDescent="0.35">
      <c r="A193" s="2">
        <v>45035</v>
      </c>
      <c r="B193" s="1" t="s">
        <v>25</v>
      </c>
      <c r="C193" s="1" t="s">
        <v>68</v>
      </c>
      <c r="D193" s="1">
        <v>83667</v>
      </c>
    </row>
    <row r="194" spans="1:4" x14ac:dyDescent="0.35">
      <c r="A194" s="2">
        <v>45000</v>
      </c>
      <c r="B194" s="1" t="s">
        <v>25</v>
      </c>
      <c r="C194" s="1" t="s">
        <v>65</v>
      </c>
      <c r="D194" s="1">
        <v>16070</v>
      </c>
    </row>
    <row r="195" spans="1:4" x14ac:dyDescent="0.35">
      <c r="A195" s="2">
        <v>45557</v>
      </c>
      <c r="B195" s="1" t="s">
        <v>35</v>
      </c>
      <c r="C195" s="1" t="s">
        <v>66</v>
      </c>
      <c r="D195" s="1">
        <v>97554</v>
      </c>
    </row>
    <row r="196" spans="1:4" x14ac:dyDescent="0.35">
      <c r="A196" s="2">
        <v>45327</v>
      </c>
      <c r="B196" s="1" t="s">
        <v>35</v>
      </c>
      <c r="C196" s="1" t="s">
        <v>67</v>
      </c>
      <c r="D196" s="1">
        <v>63822</v>
      </c>
    </row>
    <row r="197" spans="1:4" x14ac:dyDescent="0.35">
      <c r="A197" s="2">
        <v>45523</v>
      </c>
      <c r="B197" s="1" t="s">
        <v>15</v>
      </c>
      <c r="C197" s="1" t="s">
        <v>69</v>
      </c>
      <c r="D197" s="1">
        <v>65218</v>
      </c>
    </row>
    <row r="198" spans="1:4" x14ac:dyDescent="0.35">
      <c r="A198" s="2">
        <v>45411</v>
      </c>
      <c r="B198" s="1" t="s">
        <v>35</v>
      </c>
      <c r="C198" s="1" t="s">
        <v>65</v>
      </c>
      <c r="D198" s="1">
        <v>12618</v>
      </c>
    </row>
    <row r="199" spans="1:4" x14ac:dyDescent="0.35">
      <c r="A199" s="2">
        <v>45051</v>
      </c>
      <c r="B199" s="1" t="s">
        <v>15</v>
      </c>
      <c r="C199" s="1" t="s">
        <v>69</v>
      </c>
      <c r="D199" s="1">
        <v>65424</v>
      </c>
    </row>
    <row r="200" spans="1:4" x14ac:dyDescent="0.35">
      <c r="A200" s="2">
        <v>45268</v>
      </c>
      <c r="B200" s="1" t="s">
        <v>38</v>
      </c>
      <c r="C200" s="1" t="s">
        <v>65</v>
      </c>
      <c r="D200" s="1">
        <v>50255</v>
      </c>
    </row>
    <row r="201" spans="1:4" x14ac:dyDescent="0.35">
      <c r="A201" s="2">
        <v>45481</v>
      </c>
      <c r="B201" s="1" t="s">
        <v>38</v>
      </c>
      <c r="C201" s="1" t="s">
        <v>65</v>
      </c>
      <c r="D201" s="1">
        <v>12418</v>
      </c>
    </row>
    <row r="202" spans="1:4" x14ac:dyDescent="0.35">
      <c r="A202" s="2">
        <v>45327</v>
      </c>
      <c r="B202" s="1" t="s">
        <v>25</v>
      </c>
      <c r="C202" s="1" t="s">
        <v>69</v>
      </c>
      <c r="D202" s="1">
        <v>26270</v>
      </c>
    </row>
    <row r="203" spans="1:4" x14ac:dyDescent="0.35">
      <c r="A203" s="2">
        <v>45408</v>
      </c>
      <c r="B203" s="1" t="s">
        <v>38</v>
      </c>
      <c r="C203" s="1" t="s">
        <v>68</v>
      </c>
      <c r="D203" s="1">
        <v>98641</v>
      </c>
    </row>
    <row r="204" spans="1:4" x14ac:dyDescent="0.35">
      <c r="A204" s="2">
        <v>44955</v>
      </c>
      <c r="B204" s="1" t="s">
        <v>25</v>
      </c>
      <c r="C204" s="1" t="s">
        <v>65</v>
      </c>
      <c r="D204" s="1">
        <v>53030</v>
      </c>
    </row>
    <row r="205" spans="1:4" x14ac:dyDescent="0.35">
      <c r="A205" s="2">
        <v>45346</v>
      </c>
      <c r="B205" s="1" t="s">
        <v>38</v>
      </c>
      <c r="C205" s="1" t="s">
        <v>69</v>
      </c>
      <c r="D205" s="1">
        <v>56680</v>
      </c>
    </row>
    <row r="206" spans="1:4" x14ac:dyDescent="0.35">
      <c r="A206" s="2">
        <v>45236</v>
      </c>
      <c r="B206" s="1" t="s">
        <v>35</v>
      </c>
      <c r="C206" s="1" t="s">
        <v>69</v>
      </c>
      <c r="D206" s="1">
        <v>35958</v>
      </c>
    </row>
    <row r="207" spans="1:4" x14ac:dyDescent="0.35">
      <c r="A207" s="2">
        <v>45240</v>
      </c>
      <c r="B207" s="1" t="s">
        <v>38</v>
      </c>
      <c r="C207" s="1" t="s">
        <v>68</v>
      </c>
      <c r="D207" s="1">
        <v>65988</v>
      </c>
    </row>
    <row r="208" spans="1:4" x14ac:dyDescent="0.35">
      <c r="A208" s="2">
        <v>45656</v>
      </c>
      <c r="B208" s="1" t="s">
        <v>25</v>
      </c>
      <c r="C208" s="1" t="s">
        <v>65</v>
      </c>
      <c r="D208" s="1">
        <v>35311</v>
      </c>
    </row>
    <row r="209" spans="1:4" x14ac:dyDescent="0.35">
      <c r="A209" s="2">
        <v>44992</v>
      </c>
      <c r="B209" s="1" t="s">
        <v>35</v>
      </c>
      <c r="C209" s="1" t="s">
        <v>65</v>
      </c>
      <c r="D209" s="1">
        <v>40338</v>
      </c>
    </row>
    <row r="210" spans="1:4" x14ac:dyDescent="0.35">
      <c r="A210" s="2">
        <v>45212</v>
      </c>
      <c r="B210" s="1" t="s">
        <v>35</v>
      </c>
      <c r="C210" s="1" t="s">
        <v>68</v>
      </c>
      <c r="D210" s="1">
        <v>28857</v>
      </c>
    </row>
    <row r="211" spans="1:4" x14ac:dyDescent="0.35">
      <c r="A211" s="2">
        <v>45498</v>
      </c>
      <c r="B211" s="1" t="s">
        <v>15</v>
      </c>
      <c r="C211" s="1" t="s">
        <v>68</v>
      </c>
      <c r="D211" s="1">
        <v>94982</v>
      </c>
    </row>
    <row r="212" spans="1:4" x14ac:dyDescent="0.35">
      <c r="A212" s="2">
        <v>45394</v>
      </c>
      <c r="B212" s="1" t="s">
        <v>35</v>
      </c>
      <c r="C212" s="1" t="s">
        <v>67</v>
      </c>
      <c r="D212" s="1">
        <v>86406</v>
      </c>
    </row>
    <row r="213" spans="1:4" x14ac:dyDescent="0.35">
      <c r="A213" s="2">
        <v>45079</v>
      </c>
      <c r="B213" s="1" t="s">
        <v>25</v>
      </c>
      <c r="C213" s="1" t="s">
        <v>68</v>
      </c>
      <c r="D213" s="1">
        <v>93536</v>
      </c>
    </row>
    <row r="214" spans="1:4" x14ac:dyDescent="0.35">
      <c r="A214" s="2">
        <v>45600</v>
      </c>
      <c r="B214" s="1" t="s">
        <v>15</v>
      </c>
      <c r="C214" s="1" t="s">
        <v>69</v>
      </c>
      <c r="D214" s="1">
        <v>39938</v>
      </c>
    </row>
    <row r="215" spans="1:4" x14ac:dyDescent="0.35">
      <c r="A215" s="2">
        <v>45219</v>
      </c>
      <c r="B215" s="1" t="s">
        <v>35</v>
      </c>
      <c r="C215" s="1" t="s">
        <v>67</v>
      </c>
      <c r="D215" s="1">
        <v>6485</v>
      </c>
    </row>
    <row r="216" spans="1:4" x14ac:dyDescent="0.35">
      <c r="A216" s="2">
        <v>45555</v>
      </c>
      <c r="B216" s="1" t="s">
        <v>25</v>
      </c>
      <c r="C216" s="1" t="s">
        <v>69</v>
      </c>
      <c r="D216" s="1">
        <v>87916</v>
      </c>
    </row>
    <row r="217" spans="1:4" x14ac:dyDescent="0.35">
      <c r="A217" s="2">
        <v>45117</v>
      </c>
      <c r="B217" s="1" t="s">
        <v>35</v>
      </c>
      <c r="C217" s="1" t="s">
        <v>65</v>
      </c>
      <c r="D217" s="1">
        <v>40611</v>
      </c>
    </row>
    <row r="218" spans="1:4" x14ac:dyDescent="0.35">
      <c r="A218" s="2">
        <v>45538</v>
      </c>
      <c r="B218" s="1" t="s">
        <v>35</v>
      </c>
      <c r="C218" s="1" t="s">
        <v>68</v>
      </c>
      <c r="D218" s="1">
        <v>58457</v>
      </c>
    </row>
    <row r="219" spans="1:4" x14ac:dyDescent="0.35">
      <c r="A219" s="2">
        <v>45550</v>
      </c>
      <c r="B219" s="1" t="s">
        <v>35</v>
      </c>
      <c r="C219" s="1" t="s">
        <v>69</v>
      </c>
      <c r="D219" s="1">
        <v>84270</v>
      </c>
    </row>
    <row r="220" spans="1:4" x14ac:dyDescent="0.35">
      <c r="A220" s="2">
        <v>45274</v>
      </c>
      <c r="B220" s="1" t="s">
        <v>15</v>
      </c>
      <c r="C220" s="1" t="s">
        <v>67</v>
      </c>
      <c r="D220" s="1">
        <v>24664</v>
      </c>
    </row>
    <row r="221" spans="1:4" x14ac:dyDescent="0.35">
      <c r="A221" s="2">
        <v>45651</v>
      </c>
      <c r="B221" s="1" t="s">
        <v>38</v>
      </c>
      <c r="C221" s="1" t="s">
        <v>67</v>
      </c>
      <c r="D221" s="1">
        <v>28199</v>
      </c>
    </row>
    <row r="222" spans="1:4" x14ac:dyDescent="0.35">
      <c r="A222" s="2">
        <v>45222</v>
      </c>
      <c r="B222" s="1" t="s">
        <v>15</v>
      </c>
      <c r="C222" s="1" t="s">
        <v>66</v>
      </c>
      <c r="D222" s="1">
        <v>70189</v>
      </c>
    </row>
    <row r="223" spans="1:4" x14ac:dyDescent="0.35">
      <c r="A223" s="2">
        <v>45024</v>
      </c>
      <c r="B223" s="1" t="s">
        <v>15</v>
      </c>
      <c r="C223" s="1" t="s">
        <v>66</v>
      </c>
      <c r="D223" s="1">
        <v>75757</v>
      </c>
    </row>
    <row r="224" spans="1:4" x14ac:dyDescent="0.35">
      <c r="A224" s="2">
        <v>45260</v>
      </c>
      <c r="B224" s="1" t="s">
        <v>35</v>
      </c>
      <c r="C224" s="1" t="s">
        <v>67</v>
      </c>
      <c r="D224" s="1">
        <v>68658</v>
      </c>
    </row>
    <row r="225" spans="1:4" x14ac:dyDescent="0.35">
      <c r="A225" s="2">
        <v>45163</v>
      </c>
      <c r="B225" s="1" t="s">
        <v>38</v>
      </c>
      <c r="C225" s="1" t="s">
        <v>68</v>
      </c>
      <c r="D225" s="1">
        <v>14449</v>
      </c>
    </row>
    <row r="226" spans="1:4" x14ac:dyDescent="0.35">
      <c r="A226" s="2">
        <v>45389</v>
      </c>
      <c r="B226" s="1" t="s">
        <v>38</v>
      </c>
      <c r="C226" s="1" t="s">
        <v>68</v>
      </c>
      <c r="D226" s="1">
        <v>95338</v>
      </c>
    </row>
    <row r="227" spans="1:4" x14ac:dyDescent="0.35">
      <c r="A227" s="2">
        <v>45087</v>
      </c>
      <c r="B227" s="1" t="s">
        <v>25</v>
      </c>
      <c r="C227" s="1" t="s">
        <v>65</v>
      </c>
      <c r="D227" s="1">
        <v>14207</v>
      </c>
    </row>
    <row r="228" spans="1:4" x14ac:dyDescent="0.35">
      <c r="A228" s="2">
        <v>45648</v>
      </c>
      <c r="B228" s="1" t="s">
        <v>25</v>
      </c>
      <c r="C228" s="1" t="s">
        <v>69</v>
      </c>
      <c r="D228" s="1">
        <v>78044</v>
      </c>
    </row>
    <row r="229" spans="1:4" x14ac:dyDescent="0.35">
      <c r="A229" s="2">
        <v>45367</v>
      </c>
      <c r="B229" s="1" t="s">
        <v>38</v>
      </c>
      <c r="C229" s="1" t="s">
        <v>69</v>
      </c>
      <c r="D229" s="1">
        <v>38386</v>
      </c>
    </row>
    <row r="230" spans="1:4" x14ac:dyDescent="0.35">
      <c r="A230" s="2">
        <v>44946</v>
      </c>
      <c r="B230" s="1" t="s">
        <v>35</v>
      </c>
      <c r="C230" s="1" t="s">
        <v>68</v>
      </c>
      <c r="D230" s="1">
        <v>32170</v>
      </c>
    </row>
    <row r="231" spans="1:4" x14ac:dyDescent="0.35">
      <c r="A231" s="2">
        <v>45280</v>
      </c>
      <c r="B231" s="1" t="s">
        <v>15</v>
      </c>
      <c r="C231" s="1" t="s">
        <v>68</v>
      </c>
      <c r="D231" s="1">
        <v>83223</v>
      </c>
    </row>
    <row r="232" spans="1:4" x14ac:dyDescent="0.35">
      <c r="A232" s="2">
        <v>45474</v>
      </c>
      <c r="B232" s="1" t="s">
        <v>15</v>
      </c>
      <c r="C232" s="1" t="s">
        <v>65</v>
      </c>
      <c r="D232" s="1">
        <v>11578</v>
      </c>
    </row>
    <row r="233" spans="1:4" x14ac:dyDescent="0.35">
      <c r="A233" s="2">
        <v>45633</v>
      </c>
      <c r="B233" s="1" t="s">
        <v>38</v>
      </c>
      <c r="C233" s="1" t="s">
        <v>69</v>
      </c>
      <c r="D233" s="1">
        <v>87515</v>
      </c>
    </row>
    <row r="234" spans="1:4" x14ac:dyDescent="0.35">
      <c r="A234" s="2">
        <v>45572</v>
      </c>
      <c r="B234" s="1" t="s">
        <v>15</v>
      </c>
      <c r="C234" s="1" t="s">
        <v>67</v>
      </c>
      <c r="D234" s="1">
        <v>94898</v>
      </c>
    </row>
    <row r="235" spans="1:4" x14ac:dyDescent="0.35">
      <c r="A235" s="2">
        <v>44929</v>
      </c>
      <c r="B235" s="1" t="s">
        <v>25</v>
      </c>
      <c r="C235" s="1" t="s">
        <v>66</v>
      </c>
      <c r="D235" s="1">
        <v>71253</v>
      </c>
    </row>
    <row r="236" spans="1:4" x14ac:dyDescent="0.35">
      <c r="A236" s="2">
        <v>45247</v>
      </c>
      <c r="B236" s="1" t="s">
        <v>15</v>
      </c>
      <c r="C236" s="1" t="s">
        <v>69</v>
      </c>
      <c r="D236" s="1">
        <v>64369</v>
      </c>
    </row>
    <row r="237" spans="1:4" x14ac:dyDescent="0.35">
      <c r="A237" s="2">
        <v>45021</v>
      </c>
      <c r="B237" s="1" t="s">
        <v>38</v>
      </c>
      <c r="C237" s="1" t="s">
        <v>67</v>
      </c>
      <c r="D237" s="1">
        <v>46464</v>
      </c>
    </row>
    <row r="238" spans="1:4" x14ac:dyDescent="0.35">
      <c r="A238" s="2">
        <v>45024</v>
      </c>
      <c r="B238" s="1" t="s">
        <v>25</v>
      </c>
      <c r="C238" s="1" t="s">
        <v>66</v>
      </c>
      <c r="D238" s="1">
        <v>43393</v>
      </c>
    </row>
    <row r="239" spans="1:4" x14ac:dyDescent="0.35">
      <c r="A239" s="2">
        <v>45342</v>
      </c>
      <c r="B239" s="1" t="s">
        <v>25</v>
      </c>
      <c r="C239" s="1" t="s">
        <v>66</v>
      </c>
      <c r="D239" s="1">
        <v>64781</v>
      </c>
    </row>
    <row r="240" spans="1:4" x14ac:dyDescent="0.35">
      <c r="A240" s="2">
        <v>45259</v>
      </c>
      <c r="B240" s="1" t="s">
        <v>25</v>
      </c>
      <c r="C240" s="1" t="s">
        <v>66</v>
      </c>
      <c r="D240" s="1">
        <v>85541</v>
      </c>
    </row>
    <row r="241" spans="1:4" x14ac:dyDescent="0.35">
      <c r="A241" s="2">
        <v>45033</v>
      </c>
      <c r="B241" s="1" t="s">
        <v>35</v>
      </c>
      <c r="C241" s="1" t="s">
        <v>67</v>
      </c>
      <c r="D241" s="1">
        <v>92853</v>
      </c>
    </row>
    <row r="242" spans="1:4" x14ac:dyDescent="0.35">
      <c r="A242" s="2">
        <v>45398</v>
      </c>
      <c r="B242" s="1" t="s">
        <v>15</v>
      </c>
      <c r="C242" s="1" t="s">
        <v>69</v>
      </c>
      <c r="D242" s="1">
        <v>96061</v>
      </c>
    </row>
    <row r="243" spans="1:4" x14ac:dyDescent="0.35">
      <c r="A243" s="2">
        <v>45511</v>
      </c>
      <c r="B243" s="1" t="s">
        <v>15</v>
      </c>
      <c r="C243" s="1" t="s">
        <v>66</v>
      </c>
      <c r="D243" s="1">
        <v>86485</v>
      </c>
    </row>
    <row r="244" spans="1:4" x14ac:dyDescent="0.35">
      <c r="A244" s="2">
        <v>45105</v>
      </c>
      <c r="B244" s="1" t="s">
        <v>35</v>
      </c>
      <c r="C244" s="1" t="s">
        <v>65</v>
      </c>
      <c r="D244" s="1">
        <v>95771</v>
      </c>
    </row>
    <row r="245" spans="1:4" x14ac:dyDescent="0.35">
      <c r="A245" s="2">
        <v>45081</v>
      </c>
      <c r="B245" s="1" t="s">
        <v>25</v>
      </c>
      <c r="C245" s="1" t="s">
        <v>68</v>
      </c>
      <c r="D245" s="1">
        <v>58186</v>
      </c>
    </row>
    <row r="246" spans="1:4" x14ac:dyDescent="0.35">
      <c r="A246" s="2">
        <v>45312</v>
      </c>
      <c r="B246" s="1" t="s">
        <v>35</v>
      </c>
      <c r="C246" s="1" t="s">
        <v>68</v>
      </c>
      <c r="D246" s="1">
        <v>84600</v>
      </c>
    </row>
    <row r="247" spans="1:4" x14ac:dyDescent="0.35">
      <c r="A247" s="2">
        <v>45166</v>
      </c>
      <c r="B247" s="1" t="s">
        <v>38</v>
      </c>
      <c r="C247" s="1" t="s">
        <v>68</v>
      </c>
      <c r="D247" s="1">
        <v>63543</v>
      </c>
    </row>
    <row r="248" spans="1:4" x14ac:dyDescent="0.35">
      <c r="A248" s="2">
        <v>44954</v>
      </c>
      <c r="B248" s="1" t="s">
        <v>25</v>
      </c>
      <c r="C248" s="1" t="s">
        <v>66</v>
      </c>
      <c r="D248" s="1">
        <v>98209</v>
      </c>
    </row>
    <row r="249" spans="1:4" x14ac:dyDescent="0.35">
      <c r="A249" s="2">
        <v>45481</v>
      </c>
      <c r="B249" s="1" t="s">
        <v>25</v>
      </c>
      <c r="C249" s="1" t="s">
        <v>69</v>
      </c>
      <c r="D249" s="1">
        <v>13257</v>
      </c>
    </row>
    <row r="250" spans="1:4" x14ac:dyDescent="0.35">
      <c r="A250" s="2">
        <v>45357</v>
      </c>
      <c r="B250" s="1" t="s">
        <v>25</v>
      </c>
      <c r="C250" s="1" t="s">
        <v>65</v>
      </c>
      <c r="D250" s="1">
        <v>58589</v>
      </c>
    </row>
    <row r="251" spans="1:4" x14ac:dyDescent="0.35">
      <c r="A251" s="2">
        <v>45155</v>
      </c>
      <c r="B251" s="1" t="s">
        <v>15</v>
      </c>
      <c r="C251" s="1" t="s">
        <v>69</v>
      </c>
      <c r="D251" s="1">
        <v>41637</v>
      </c>
    </row>
    <row r="252" spans="1:4" x14ac:dyDescent="0.35">
      <c r="A252" s="2">
        <v>45401</v>
      </c>
      <c r="B252" s="1" t="s">
        <v>15</v>
      </c>
      <c r="C252" s="1" t="s">
        <v>67</v>
      </c>
      <c r="D252" s="1">
        <v>16916</v>
      </c>
    </row>
    <row r="253" spans="1:4" x14ac:dyDescent="0.35">
      <c r="A253" s="2">
        <v>45471</v>
      </c>
      <c r="B253" s="1" t="s">
        <v>15</v>
      </c>
      <c r="C253" s="1" t="s">
        <v>67</v>
      </c>
      <c r="D253" s="1">
        <v>96999</v>
      </c>
    </row>
    <row r="254" spans="1:4" x14ac:dyDescent="0.35">
      <c r="A254" s="2">
        <v>45569</v>
      </c>
      <c r="B254" s="1" t="s">
        <v>25</v>
      </c>
      <c r="C254" s="1" t="s">
        <v>66</v>
      </c>
      <c r="D254" s="1">
        <v>93326</v>
      </c>
    </row>
    <row r="255" spans="1:4" x14ac:dyDescent="0.35">
      <c r="A255" s="2">
        <v>45016</v>
      </c>
      <c r="B255" s="1" t="s">
        <v>35</v>
      </c>
      <c r="C255" s="1" t="s">
        <v>68</v>
      </c>
      <c r="D255" s="1">
        <v>18571</v>
      </c>
    </row>
    <row r="256" spans="1:4" x14ac:dyDescent="0.35">
      <c r="A256" s="2">
        <v>45456</v>
      </c>
      <c r="B256" s="1" t="s">
        <v>25</v>
      </c>
      <c r="C256" s="1" t="s">
        <v>65</v>
      </c>
      <c r="D256" s="1">
        <v>65636</v>
      </c>
    </row>
    <row r="257" spans="1:4" x14ac:dyDescent="0.35">
      <c r="A257" s="2">
        <v>45531</v>
      </c>
      <c r="B257" s="1" t="s">
        <v>15</v>
      </c>
      <c r="C257" s="1" t="s">
        <v>68</v>
      </c>
      <c r="D257" s="1">
        <v>50853</v>
      </c>
    </row>
    <row r="258" spans="1:4" x14ac:dyDescent="0.35">
      <c r="A258" s="2">
        <v>45514</v>
      </c>
      <c r="B258" s="1" t="s">
        <v>38</v>
      </c>
      <c r="C258" s="1" t="s">
        <v>67</v>
      </c>
      <c r="D258" s="1">
        <v>54084</v>
      </c>
    </row>
    <row r="259" spans="1:4" x14ac:dyDescent="0.35">
      <c r="A259" s="2">
        <v>45414</v>
      </c>
      <c r="B259" s="1" t="s">
        <v>38</v>
      </c>
      <c r="C259" s="1" t="s">
        <v>69</v>
      </c>
      <c r="D259" s="1">
        <v>31142</v>
      </c>
    </row>
    <row r="260" spans="1:4" x14ac:dyDescent="0.35">
      <c r="A260" s="2">
        <v>44977</v>
      </c>
      <c r="B260" s="1" t="s">
        <v>15</v>
      </c>
      <c r="C260" s="1" t="s">
        <v>69</v>
      </c>
      <c r="D260" s="1">
        <v>52653</v>
      </c>
    </row>
    <row r="261" spans="1:4" x14ac:dyDescent="0.35">
      <c r="A261" s="2">
        <v>45080</v>
      </c>
      <c r="B261" s="1" t="s">
        <v>25</v>
      </c>
      <c r="C261" s="1" t="s">
        <v>68</v>
      </c>
      <c r="D261" s="1">
        <v>34745</v>
      </c>
    </row>
    <row r="262" spans="1:4" x14ac:dyDescent="0.35">
      <c r="A262" s="2">
        <v>45430</v>
      </c>
      <c r="B262" s="1" t="s">
        <v>25</v>
      </c>
      <c r="C262" s="1" t="s">
        <v>67</v>
      </c>
      <c r="D262" s="1">
        <v>70170</v>
      </c>
    </row>
    <row r="263" spans="1:4" x14ac:dyDescent="0.35">
      <c r="A263" s="2">
        <v>45383</v>
      </c>
      <c r="B263" s="1" t="s">
        <v>35</v>
      </c>
      <c r="C263" s="1" t="s">
        <v>68</v>
      </c>
      <c r="D263" s="1">
        <v>89877</v>
      </c>
    </row>
    <row r="264" spans="1:4" x14ac:dyDescent="0.35">
      <c r="A264" s="2">
        <v>45573</v>
      </c>
      <c r="B264" s="1" t="s">
        <v>35</v>
      </c>
      <c r="C264" s="1" t="s">
        <v>68</v>
      </c>
      <c r="D264" s="1">
        <v>91266</v>
      </c>
    </row>
    <row r="265" spans="1:4" x14ac:dyDescent="0.35">
      <c r="A265" s="2">
        <v>44957</v>
      </c>
      <c r="B265" s="1" t="s">
        <v>35</v>
      </c>
      <c r="C265" s="1" t="s">
        <v>69</v>
      </c>
      <c r="D265" s="1">
        <v>93275</v>
      </c>
    </row>
    <row r="266" spans="1:4" x14ac:dyDescent="0.35">
      <c r="A266" s="2">
        <v>45333</v>
      </c>
      <c r="B266" s="1" t="s">
        <v>35</v>
      </c>
      <c r="C266" s="1" t="s">
        <v>68</v>
      </c>
      <c r="D266" s="1">
        <v>94149</v>
      </c>
    </row>
    <row r="267" spans="1:4" x14ac:dyDescent="0.35">
      <c r="A267" s="2">
        <v>45575</v>
      </c>
      <c r="B267" s="1" t="s">
        <v>25</v>
      </c>
      <c r="C267" s="1" t="s">
        <v>66</v>
      </c>
      <c r="D267" s="1">
        <v>47664</v>
      </c>
    </row>
    <row r="268" spans="1:4" x14ac:dyDescent="0.35">
      <c r="A268" s="2">
        <v>45620</v>
      </c>
      <c r="B268" s="1" t="s">
        <v>25</v>
      </c>
      <c r="C268" s="1" t="s">
        <v>66</v>
      </c>
      <c r="D268" s="1">
        <v>85570</v>
      </c>
    </row>
    <row r="269" spans="1:4" x14ac:dyDescent="0.35">
      <c r="A269" s="2">
        <v>45154</v>
      </c>
      <c r="B269" s="1" t="s">
        <v>35</v>
      </c>
      <c r="C269" s="1" t="s">
        <v>67</v>
      </c>
      <c r="D269" s="1">
        <v>98507</v>
      </c>
    </row>
    <row r="270" spans="1:4" x14ac:dyDescent="0.35">
      <c r="A270" s="2">
        <v>45368</v>
      </c>
      <c r="B270" s="1" t="s">
        <v>35</v>
      </c>
      <c r="C270" s="1" t="s">
        <v>68</v>
      </c>
      <c r="D270" s="1">
        <v>95893</v>
      </c>
    </row>
    <row r="271" spans="1:4" x14ac:dyDescent="0.35">
      <c r="A271" s="2">
        <v>45304</v>
      </c>
      <c r="B271" s="1" t="s">
        <v>35</v>
      </c>
      <c r="C271" s="1" t="s">
        <v>67</v>
      </c>
      <c r="D271" s="1">
        <v>6652</v>
      </c>
    </row>
    <row r="272" spans="1:4" x14ac:dyDescent="0.35">
      <c r="A272" s="2">
        <v>45387</v>
      </c>
      <c r="B272" s="1" t="s">
        <v>38</v>
      </c>
      <c r="C272" s="1" t="s">
        <v>65</v>
      </c>
      <c r="D272" s="1">
        <v>92307</v>
      </c>
    </row>
    <row r="273" spans="1:4" x14ac:dyDescent="0.35">
      <c r="A273" s="2">
        <v>45072</v>
      </c>
      <c r="B273" s="1" t="s">
        <v>15</v>
      </c>
      <c r="C273" s="1" t="s">
        <v>66</v>
      </c>
      <c r="D273" s="1">
        <v>50714</v>
      </c>
    </row>
    <row r="274" spans="1:4" x14ac:dyDescent="0.35">
      <c r="A274" s="2">
        <v>45602</v>
      </c>
      <c r="B274" s="1" t="s">
        <v>35</v>
      </c>
      <c r="C274" s="1" t="s">
        <v>66</v>
      </c>
      <c r="D274" s="1">
        <v>36327</v>
      </c>
    </row>
    <row r="275" spans="1:4" x14ac:dyDescent="0.35">
      <c r="A275" s="2">
        <v>45129</v>
      </c>
      <c r="B275" s="1" t="s">
        <v>35</v>
      </c>
      <c r="C275" s="1" t="s">
        <v>68</v>
      </c>
      <c r="D275" s="1">
        <v>23222</v>
      </c>
    </row>
    <row r="276" spans="1:4" x14ac:dyDescent="0.35">
      <c r="A276" s="2">
        <v>45072</v>
      </c>
      <c r="B276" s="1" t="s">
        <v>15</v>
      </c>
      <c r="C276" s="1" t="s">
        <v>69</v>
      </c>
      <c r="D276" s="1">
        <v>46747</v>
      </c>
    </row>
    <row r="277" spans="1:4" x14ac:dyDescent="0.35">
      <c r="A277" s="2">
        <v>45263</v>
      </c>
      <c r="B277" s="1" t="s">
        <v>25</v>
      </c>
      <c r="C277" s="1" t="s">
        <v>67</v>
      </c>
      <c r="D277" s="1">
        <v>76674</v>
      </c>
    </row>
    <row r="278" spans="1:4" x14ac:dyDescent="0.35">
      <c r="A278" s="2">
        <v>45390</v>
      </c>
      <c r="B278" s="1" t="s">
        <v>35</v>
      </c>
      <c r="C278" s="1" t="s">
        <v>66</v>
      </c>
      <c r="D278" s="1">
        <v>12796</v>
      </c>
    </row>
    <row r="279" spans="1:4" x14ac:dyDescent="0.35">
      <c r="A279" s="2">
        <v>45574</v>
      </c>
      <c r="B279" s="1" t="s">
        <v>38</v>
      </c>
      <c r="C279" s="1" t="s">
        <v>68</v>
      </c>
      <c r="D279" s="1">
        <v>76566</v>
      </c>
    </row>
    <row r="280" spans="1:4" x14ac:dyDescent="0.35">
      <c r="A280" s="2">
        <v>45657</v>
      </c>
      <c r="B280" s="1" t="s">
        <v>38</v>
      </c>
      <c r="C280" s="1" t="s">
        <v>69</v>
      </c>
      <c r="D280" s="1">
        <v>11463</v>
      </c>
    </row>
    <row r="281" spans="1:4" x14ac:dyDescent="0.35">
      <c r="A281" s="2">
        <v>45213</v>
      </c>
      <c r="B281" s="1" t="s">
        <v>35</v>
      </c>
      <c r="C281" s="1" t="s">
        <v>65</v>
      </c>
      <c r="D281" s="1">
        <v>86904</v>
      </c>
    </row>
    <row r="282" spans="1:4" x14ac:dyDescent="0.35">
      <c r="A282" s="2">
        <v>45409</v>
      </c>
      <c r="B282" s="1" t="s">
        <v>15</v>
      </c>
      <c r="C282" s="1" t="s">
        <v>67</v>
      </c>
      <c r="D282" s="1">
        <v>16269</v>
      </c>
    </row>
    <row r="283" spans="1:4" x14ac:dyDescent="0.35">
      <c r="A283" s="2">
        <v>45604</v>
      </c>
      <c r="B283" s="1" t="s">
        <v>35</v>
      </c>
      <c r="C283" s="1" t="s">
        <v>67</v>
      </c>
      <c r="D283" s="1">
        <v>7087</v>
      </c>
    </row>
    <row r="284" spans="1:4" x14ac:dyDescent="0.35">
      <c r="A284" s="2">
        <v>45115</v>
      </c>
      <c r="B284" s="1" t="s">
        <v>25</v>
      </c>
      <c r="C284" s="1" t="s">
        <v>69</v>
      </c>
      <c r="D284" s="1">
        <v>48408</v>
      </c>
    </row>
    <row r="285" spans="1:4" x14ac:dyDescent="0.35">
      <c r="A285" s="2">
        <v>45479</v>
      </c>
      <c r="B285" s="1" t="s">
        <v>35</v>
      </c>
      <c r="C285" s="1" t="s">
        <v>67</v>
      </c>
      <c r="D285" s="1">
        <v>46404</v>
      </c>
    </row>
    <row r="286" spans="1:4" x14ac:dyDescent="0.35">
      <c r="A286" s="2">
        <v>45144</v>
      </c>
      <c r="B286" s="1" t="s">
        <v>15</v>
      </c>
      <c r="C286" s="1" t="s">
        <v>65</v>
      </c>
      <c r="D286" s="1">
        <v>94566</v>
      </c>
    </row>
    <row r="287" spans="1:4" x14ac:dyDescent="0.35">
      <c r="A287" s="2">
        <v>45376</v>
      </c>
      <c r="B287" s="1" t="s">
        <v>15</v>
      </c>
      <c r="C287" s="1" t="s">
        <v>69</v>
      </c>
      <c r="D287" s="1">
        <v>81702</v>
      </c>
    </row>
    <row r="288" spans="1:4" x14ac:dyDescent="0.35">
      <c r="A288" s="2">
        <v>45265</v>
      </c>
      <c r="B288" s="1" t="s">
        <v>25</v>
      </c>
      <c r="C288" s="1" t="s">
        <v>68</v>
      </c>
      <c r="D288" s="1">
        <v>24847</v>
      </c>
    </row>
    <row r="289" spans="1:7" x14ac:dyDescent="0.35">
      <c r="A289" s="2">
        <v>45038</v>
      </c>
      <c r="B289" s="1" t="s">
        <v>15</v>
      </c>
      <c r="C289" s="1" t="s">
        <v>67</v>
      </c>
      <c r="D289" s="1">
        <v>55718</v>
      </c>
    </row>
    <row r="290" spans="1:7" x14ac:dyDescent="0.35">
      <c r="A290" s="2">
        <v>45530</v>
      </c>
      <c r="B290" s="1" t="s">
        <v>38</v>
      </c>
      <c r="C290" s="1" t="s">
        <v>65</v>
      </c>
      <c r="D290" s="1">
        <v>49141</v>
      </c>
    </row>
    <row r="291" spans="1:7" x14ac:dyDescent="0.35">
      <c r="A291" s="2">
        <v>45042</v>
      </c>
      <c r="B291" s="1" t="s">
        <v>38</v>
      </c>
      <c r="C291" s="1" t="s">
        <v>69</v>
      </c>
      <c r="D291" s="1">
        <v>20918</v>
      </c>
    </row>
    <row r="292" spans="1:7" x14ac:dyDescent="0.35">
      <c r="A292" s="2">
        <v>45366</v>
      </c>
      <c r="B292" s="1" t="s">
        <v>15</v>
      </c>
      <c r="C292" s="1" t="s">
        <v>69</v>
      </c>
      <c r="D292" s="1">
        <v>33924</v>
      </c>
    </row>
    <row r="293" spans="1:7" x14ac:dyDescent="0.35">
      <c r="A293" s="2">
        <v>45556</v>
      </c>
      <c r="B293" s="1" t="s">
        <v>15</v>
      </c>
      <c r="C293" s="1" t="s">
        <v>69</v>
      </c>
      <c r="D293" s="1">
        <v>85664</v>
      </c>
    </row>
    <row r="294" spans="1:7" x14ac:dyDescent="0.35">
      <c r="A294" s="2">
        <v>44966</v>
      </c>
      <c r="B294" s="1" t="s">
        <v>25</v>
      </c>
      <c r="C294" s="1" t="s">
        <v>68</v>
      </c>
      <c r="D294" s="1">
        <v>57429</v>
      </c>
    </row>
    <row r="295" spans="1:7" x14ac:dyDescent="0.35">
      <c r="A295" s="2">
        <v>45576</v>
      </c>
      <c r="B295" s="1" t="s">
        <v>15</v>
      </c>
      <c r="C295" s="1" t="s">
        <v>68</v>
      </c>
      <c r="D295" s="1">
        <v>85758</v>
      </c>
    </row>
    <row r="296" spans="1:7" x14ac:dyDescent="0.35">
      <c r="A296" s="2">
        <v>45063</v>
      </c>
      <c r="B296" s="1" t="s">
        <v>38</v>
      </c>
      <c r="C296" s="1" t="s">
        <v>65</v>
      </c>
      <c r="D296" s="1">
        <v>6679</v>
      </c>
    </row>
    <row r="297" spans="1:7" x14ac:dyDescent="0.35">
      <c r="A297" s="2">
        <v>45491</v>
      </c>
      <c r="B297" s="1" t="s">
        <v>25</v>
      </c>
      <c r="C297" s="1" t="s">
        <v>65</v>
      </c>
      <c r="D297" s="1">
        <v>33091</v>
      </c>
    </row>
    <row r="298" spans="1:7" x14ac:dyDescent="0.35">
      <c r="A298" s="2">
        <v>45329</v>
      </c>
      <c r="B298" s="1" t="s">
        <v>15</v>
      </c>
      <c r="C298" s="1" t="s">
        <v>68</v>
      </c>
      <c r="D298" s="1">
        <v>33190</v>
      </c>
      <c r="F298" s="2">
        <f>MAX(Expense_Data[Date])</f>
        <v>45657</v>
      </c>
      <c r="G298" s="2">
        <f>MIN(Expense_Data[Date])</f>
        <v>44928</v>
      </c>
    </row>
    <row r="299" spans="1:7" x14ac:dyDescent="0.35">
      <c r="A299" s="2">
        <v>45401</v>
      </c>
      <c r="B299" s="1" t="s">
        <v>38</v>
      </c>
      <c r="C299" s="1" t="s">
        <v>68</v>
      </c>
      <c r="D299" s="1">
        <v>31712</v>
      </c>
    </row>
    <row r="300" spans="1:7" x14ac:dyDescent="0.35">
      <c r="A300" s="2">
        <v>45051</v>
      </c>
      <c r="B300" s="1" t="s">
        <v>35</v>
      </c>
      <c r="C300" s="1" t="s">
        <v>68</v>
      </c>
      <c r="D300" s="1">
        <v>96782</v>
      </c>
    </row>
    <row r="301" spans="1:7" x14ac:dyDescent="0.35">
      <c r="A301" s="2">
        <v>44991</v>
      </c>
      <c r="B301" s="1" t="s">
        <v>35</v>
      </c>
      <c r="C301" s="1" t="s">
        <v>68</v>
      </c>
      <c r="D301" s="1">
        <v>61326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7"/>
  <sheetViews>
    <sheetView workbookViewId="0">
      <selection sqref="A1:D97"/>
    </sheetView>
  </sheetViews>
  <sheetFormatPr defaultRowHeight="14.5" x14ac:dyDescent="0.35"/>
  <cols>
    <col min="1" max="1" width="9.453125" bestFit="1" customWidth="1"/>
    <col min="3" max="3" width="17.26953125" bestFit="1" customWidth="1"/>
    <col min="4" max="4" width="17" bestFit="1" customWidth="1"/>
    <col min="6" max="7" width="9.453125" bestFit="1" customWidth="1"/>
  </cols>
  <sheetData>
    <row r="1" spans="1:4" x14ac:dyDescent="0.35">
      <c r="A1" s="1" t="s">
        <v>70</v>
      </c>
      <c r="B1" s="1" t="s">
        <v>3</v>
      </c>
      <c r="C1" s="1" t="s">
        <v>71</v>
      </c>
      <c r="D1" s="1" t="s">
        <v>72</v>
      </c>
    </row>
    <row r="2" spans="1:4" x14ac:dyDescent="0.35">
      <c r="A2" s="2">
        <v>44927</v>
      </c>
      <c r="B2" s="1" t="s">
        <v>35</v>
      </c>
      <c r="C2" s="1">
        <v>618363</v>
      </c>
      <c r="D2" s="1">
        <v>333726</v>
      </c>
    </row>
    <row r="3" spans="1:4" x14ac:dyDescent="0.35">
      <c r="A3" s="2">
        <v>44927</v>
      </c>
      <c r="B3" s="1" t="s">
        <v>15</v>
      </c>
      <c r="C3" s="1">
        <v>764809</v>
      </c>
      <c r="D3" s="1">
        <v>335854</v>
      </c>
    </row>
    <row r="4" spans="1:4" x14ac:dyDescent="0.35">
      <c r="A4" s="2">
        <v>44927</v>
      </c>
      <c r="B4" s="1" t="s">
        <v>38</v>
      </c>
      <c r="C4" s="1">
        <v>356517</v>
      </c>
      <c r="D4" s="1">
        <v>329487</v>
      </c>
    </row>
    <row r="5" spans="1:4" x14ac:dyDescent="0.35">
      <c r="A5" s="2">
        <v>44927</v>
      </c>
      <c r="B5" s="1" t="s">
        <v>25</v>
      </c>
      <c r="C5" s="1">
        <v>575280</v>
      </c>
      <c r="D5" s="1">
        <v>307440</v>
      </c>
    </row>
    <row r="6" spans="1:4" x14ac:dyDescent="0.35">
      <c r="A6" s="2">
        <v>44927</v>
      </c>
      <c r="B6" s="1" t="s">
        <v>35</v>
      </c>
      <c r="C6" s="1">
        <v>753524</v>
      </c>
      <c r="D6" s="1">
        <v>320776</v>
      </c>
    </row>
    <row r="7" spans="1:4" x14ac:dyDescent="0.35">
      <c r="A7" s="2">
        <v>44927</v>
      </c>
      <c r="B7" s="1" t="s">
        <v>15</v>
      </c>
      <c r="C7" s="1">
        <v>795606</v>
      </c>
      <c r="D7" s="1">
        <v>394616</v>
      </c>
    </row>
    <row r="8" spans="1:4" x14ac:dyDescent="0.35">
      <c r="A8" s="2">
        <v>44927</v>
      </c>
      <c r="B8" s="1" t="s">
        <v>38</v>
      </c>
      <c r="C8" s="1">
        <v>574498</v>
      </c>
      <c r="D8" s="1">
        <v>370889</v>
      </c>
    </row>
    <row r="9" spans="1:4" x14ac:dyDescent="0.35">
      <c r="A9" s="2">
        <v>44927</v>
      </c>
      <c r="B9" s="1" t="s">
        <v>25</v>
      </c>
      <c r="C9" s="1">
        <v>315447</v>
      </c>
      <c r="D9" s="1">
        <v>479714</v>
      </c>
    </row>
    <row r="10" spans="1:4" x14ac:dyDescent="0.35">
      <c r="A10" s="2">
        <v>44986</v>
      </c>
      <c r="B10" s="1" t="s">
        <v>35</v>
      </c>
      <c r="C10" s="1">
        <v>321580</v>
      </c>
      <c r="D10" s="1">
        <v>412786</v>
      </c>
    </row>
    <row r="11" spans="1:4" x14ac:dyDescent="0.35">
      <c r="A11" s="2">
        <v>44986</v>
      </c>
      <c r="B11" s="1" t="s">
        <v>15</v>
      </c>
      <c r="C11" s="1">
        <v>311619</v>
      </c>
      <c r="D11" s="1">
        <v>216509</v>
      </c>
    </row>
    <row r="12" spans="1:4" x14ac:dyDescent="0.35">
      <c r="A12" s="2">
        <v>44986</v>
      </c>
      <c r="B12" s="1" t="s">
        <v>38</v>
      </c>
      <c r="C12" s="1">
        <v>406084</v>
      </c>
      <c r="D12" s="1">
        <v>304615</v>
      </c>
    </row>
    <row r="13" spans="1:4" x14ac:dyDescent="0.35">
      <c r="A13" s="2">
        <v>44986</v>
      </c>
      <c r="B13" s="1" t="s">
        <v>25</v>
      </c>
      <c r="C13" s="1">
        <v>374260</v>
      </c>
      <c r="D13" s="1">
        <v>389794</v>
      </c>
    </row>
    <row r="14" spans="1:4" x14ac:dyDescent="0.35">
      <c r="A14" s="2">
        <v>45017</v>
      </c>
      <c r="B14" s="1" t="s">
        <v>35</v>
      </c>
      <c r="C14" s="1">
        <v>381840</v>
      </c>
      <c r="D14" s="1">
        <v>331679</v>
      </c>
    </row>
    <row r="15" spans="1:4" x14ac:dyDescent="0.35">
      <c r="A15" s="2">
        <v>45017</v>
      </c>
      <c r="B15" s="1" t="s">
        <v>15</v>
      </c>
      <c r="C15" s="1">
        <v>621756</v>
      </c>
      <c r="D15" s="1">
        <v>404388</v>
      </c>
    </row>
    <row r="16" spans="1:4" x14ac:dyDescent="0.35">
      <c r="A16" s="2">
        <v>45017</v>
      </c>
      <c r="B16" s="1" t="s">
        <v>38</v>
      </c>
      <c r="C16" s="1">
        <v>796606</v>
      </c>
      <c r="D16" s="1">
        <v>373516</v>
      </c>
    </row>
    <row r="17" spans="1:4" x14ac:dyDescent="0.35">
      <c r="A17" s="2">
        <v>45017</v>
      </c>
      <c r="B17" s="1" t="s">
        <v>25</v>
      </c>
      <c r="C17" s="1">
        <v>708215</v>
      </c>
      <c r="D17" s="1">
        <v>310012</v>
      </c>
    </row>
    <row r="18" spans="1:4" x14ac:dyDescent="0.35">
      <c r="A18" s="2">
        <v>45047</v>
      </c>
      <c r="B18" s="1" t="s">
        <v>35</v>
      </c>
      <c r="C18" s="1">
        <v>792324</v>
      </c>
      <c r="D18" s="1">
        <v>157949</v>
      </c>
    </row>
    <row r="19" spans="1:4" x14ac:dyDescent="0.35">
      <c r="A19" s="2">
        <v>45047</v>
      </c>
      <c r="B19" s="1" t="s">
        <v>15</v>
      </c>
      <c r="C19" s="1">
        <v>476580</v>
      </c>
      <c r="D19" s="1">
        <v>334292</v>
      </c>
    </row>
    <row r="20" spans="1:4" x14ac:dyDescent="0.35">
      <c r="A20" s="2">
        <v>45047</v>
      </c>
      <c r="B20" s="1" t="s">
        <v>38</v>
      </c>
      <c r="C20" s="1">
        <v>657090</v>
      </c>
      <c r="D20" s="1">
        <v>460523</v>
      </c>
    </row>
    <row r="21" spans="1:4" x14ac:dyDescent="0.35">
      <c r="A21" s="2">
        <v>45047</v>
      </c>
      <c r="B21" s="1" t="s">
        <v>25</v>
      </c>
      <c r="C21" s="1">
        <v>674554</v>
      </c>
      <c r="D21" s="1">
        <v>448570</v>
      </c>
    </row>
    <row r="22" spans="1:4" x14ac:dyDescent="0.35">
      <c r="A22" s="2">
        <v>45047</v>
      </c>
      <c r="B22" s="1" t="s">
        <v>35</v>
      </c>
      <c r="C22" s="1">
        <v>756678</v>
      </c>
      <c r="D22" s="1">
        <v>204854</v>
      </c>
    </row>
    <row r="23" spans="1:4" x14ac:dyDescent="0.35">
      <c r="A23" s="2">
        <v>45047</v>
      </c>
      <c r="B23" s="1" t="s">
        <v>15</v>
      </c>
      <c r="C23" s="1">
        <v>499366</v>
      </c>
      <c r="D23" s="1">
        <v>488133</v>
      </c>
    </row>
    <row r="24" spans="1:4" x14ac:dyDescent="0.35">
      <c r="A24" s="2">
        <v>45047</v>
      </c>
      <c r="B24" s="1" t="s">
        <v>38</v>
      </c>
      <c r="C24" s="1">
        <v>549208</v>
      </c>
      <c r="D24" s="1">
        <v>461074</v>
      </c>
    </row>
    <row r="25" spans="1:4" x14ac:dyDescent="0.35">
      <c r="A25" s="2">
        <v>45047</v>
      </c>
      <c r="B25" s="1" t="s">
        <v>25</v>
      </c>
      <c r="C25" s="1">
        <v>596599</v>
      </c>
      <c r="D25" s="1">
        <v>359898</v>
      </c>
    </row>
    <row r="26" spans="1:4" x14ac:dyDescent="0.35">
      <c r="A26" s="2">
        <v>45078</v>
      </c>
      <c r="B26" s="1" t="s">
        <v>35</v>
      </c>
      <c r="C26" s="1">
        <v>326187</v>
      </c>
      <c r="D26" s="1">
        <v>281284</v>
      </c>
    </row>
    <row r="27" spans="1:4" x14ac:dyDescent="0.35">
      <c r="A27" s="2">
        <v>45078</v>
      </c>
      <c r="B27" s="1" t="s">
        <v>15</v>
      </c>
      <c r="C27" s="1">
        <v>325032</v>
      </c>
      <c r="D27" s="1">
        <v>275315</v>
      </c>
    </row>
    <row r="28" spans="1:4" x14ac:dyDescent="0.35">
      <c r="A28" s="2">
        <v>45078</v>
      </c>
      <c r="B28" s="1" t="s">
        <v>38</v>
      </c>
      <c r="C28" s="1">
        <v>769432</v>
      </c>
      <c r="D28" s="1">
        <v>305695</v>
      </c>
    </row>
    <row r="29" spans="1:4" x14ac:dyDescent="0.35">
      <c r="A29" s="2">
        <v>45078</v>
      </c>
      <c r="B29" s="1" t="s">
        <v>25</v>
      </c>
      <c r="C29" s="1">
        <v>561114</v>
      </c>
      <c r="D29" s="1">
        <v>289964</v>
      </c>
    </row>
    <row r="30" spans="1:4" x14ac:dyDescent="0.35">
      <c r="A30" s="2">
        <v>45108</v>
      </c>
      <c r="B30" s="1" t="s">
        <v>35</v>
      </c>
      <c r="C30" s="1">
        <v>458119</v>
      </c>
      <c r="D30" s="1">
        <v>470195</v>
      </c>
    </row>
    <row r="31" spans="1:4" x14ac:dyDescent="0.35">
      <c r="A31" s="2">
        <v>45108</v>
      </c>
      <c r="B31" s="1" t="s">
        <v>15</v>
      </c>
      <c r="C31" s="1">
        <v>417287</v>
      </c>
      <c r="D31" s="1">
        <v>366246</v>
      </c>
    </row>
    <row r="32" spans="1:4" x14ac:dyDescent="0.35">
      <c r="A32" s="2">
        <v>45108</v>
      </c>
      <c r="B32" s="1" t="s">
        <v>38</v>
      </c>
      <c r="C32" s="1">
        <v>366340</v>
      </c>
      <c r="D32" s="1">
        <v>433016</v>
      </c>
    </row>
    <row r="33" spans="1:4" x14ac:dyDescent="0.35">
      <c r="A33" s="2">
        <v>45108</v>
      </c>
      <c r="B33" s="1" t="s">
        <v>25</v>
      </c>
      <c r="C33" s="1">
        <v>728173</v>
      </c>
      <c r="D33" s="1">
        <v>393582</v>
      </c>
    </row>
    <row r="34" spans="1:4" x14ac:dyDescent="0.35">
      <c r="A34" s="2">
        <v>45139</v>
      </c>
      <c r="B34" s="1" t="s">
        <v>35</v>
      </c>
      <c r="C34" s="1">
        <v>534935</v>
      </c>
      <c r="D34" s="1">
        <v>382133</v>
      </c>
    </row>
    <row r="35" spans="1:4" x14ac:dyDescent="0.35">
      <c r="A35" s="2">
        <v>45139</v>
      </c>
      <c r="B35" s="1" t="s">
        <v>15</v>
      </c>
      <c r="C35" s="1">
        <v>560145</v>
      </c>
      <c r="D35" s="1">
        <v>404863</v>
      </c>
    </row>
    <row r="36" spans="1:4" x14ac:dyDescent="0.35">
      <c r="A36" s="2">
        <v>45139</v>
      </c>
      <c r="B36" s="1" t="s">
        <v>38</v>
      </c>
      <c r="C36" s="1">
        <v>651351</v>
      </c>
      <c r="D36" s="1">
        <v>463816</v>
      </c>
    </row>
    <row r="37" spans="1:4" x14ac:dyDescent="0.35">
      <c r="A37" s="2">
        <v>45139</v>
      </c>
      <c r="B37" s="1" t="s">
        <v>25</v>
      </c>
      <c r="C37" s="1">
        <v>712402</v>
      </c>
      <c r="D37" s="1">
        <v>241526</v>
      </c>
    </row>
    <row r="38" spans="1:4" x14ac:dyDescent="0.35">
      <c r="A38" s="2">
        <v>45170</v>
      </c>
      <c r="B38" s="1" t="s">
        <v>35</v>
      </c>
      <c r="C38" s="1">
        <v>570995</v>
      </c>
      <c r="D38" s="1">
        <v>263663</v>
      </c>
    </row>
    <row r="39" spans="1:4" x14ac:dyDescent="0.35">
      <c r="A39" s="2">
        <v>45170</v>
      </c>
      <c r="B39" s="1" t="s">
        <v>15</v>
      </c>
      <c r="C39" s="1">
        <v>667786</v>
      </c>
      <c r="D39" s="1">
        <v>440202</v>
      </c>
    </row>
    <row r="40" spans="1:4" x14ac:dyDescent="0.35">
      <c r="A40" s="2">
        <v>45170</v>
      </c>
      <c r="B40" s="1" t="s">
        <v>38</v>
      </c>
      <c r="C40" s="1">
        <v>382661</v>
      </c>
      <c r="D40" s="1">
        <v>244869</v>
      </c>
    </row>
    <row r="41" spans="1:4" x14ac:dyDescent="0.35">
      <c r="A41" s="2">
        <v>45170</v>
      </c>
      <c r="B41" s="1" t="s">
        <v>25</v>
      </c>
      <c r="C41" s="1">
        <v>380126</v>
      </c>
      <c r="D41" s="1">
        <v>443451</v>
      </c>
    </row>
    <row r="42" spans="1:4" x14ac:dyDescent="0.35">
      <c r="A42" s="2">
        <v>45200</v>
      </c>
      <c r="B42" s="1" t="s">
        <v>35</v>
      </c>
      <c r="C42" s="1">
        <v>566296</v>
      </c>
      <c r="D42" s="1">
        <v>187450</v>
      </c>
    </row>
    <row r="43" spans="1:4" x14ac:dyDescent="0.35">
      <c r="A43" s="2">
        <v>45200</v>
      </c>
      <c r="B43" s="1" t="s">
        <v>15</v>
      </c>
      <c r="C43" s="1">
        <v>657228</v>
      </c>
      <c r="D43" s="1">
        <v>400065</v>
      </c>
    </row>
    <row r="44" spans="1:4" x14ac:dyDescent="0.35">
      <c r="A44" s="2">
        <v>45200</v>
      </c>
      <c r="B44" s="1" t="s">
        <v>38</v>
      </c>
      <c r="C44" s="1">
        <v>675165</v>
      </c>
      <c r="D44" s="1">
        <v>160115</v>
      </c>
    </row>
    <row r="45" spans="1:4" x14ac:dyDescent="0.35">
      <c r="A45" s="2">
        <v>45200</v>
      </c>
      <c r="B45" s="1" t="s">
        <v>25</v>
      </c>
      <c r="C45" s="1">
        <v>333171</v>
      </c>
      <c r="D45" s="1">
        <v>218153</v>
      </c>
    </row>
    <row r="46" spans="1:4" x14ac:dyDescent="0.35">
      <c r="A46" s="2">
        <v>45231</v>
      </c>
      <c r="B46" s="1" t="s">
        <v>35</v>
      </c>
      <c r="C46" s="1">
        <v>462347</v>
      </c>
      <c r="D46" s="1">
        <v>426558</v>
      </c>
    </row>
    <row r="47" spans="1:4" x14ac:dyDescent="0.35">
      <c r="A47" s="2">
        <v>45231</v>
      </c>
      <c r="B47" s="1" t="s">
        <v>15</v>
      </c>
      <c r="C47" s="1">
        <v>752911</v>
      </c>
      <c r="D47" s="1">
        <v>398967</v>
      </c>
    </row>
    <row r="48" spans="1:4" x14ac:dyDescent="0.35">
      <c r="A48" s="2">
        <v>45231</v>
      </c>
      <c r="B48" s="1" t="s">
        <v>38</v>
      </c>
      <c r="C48" s="1">
        <v>465137</v>
      </c>
      <c r="D48" s="1">
        <v>355832</v>
      </c>
    </row>
    <row r="49" spans="1:4" x14ac:dyDescent="0.35">
      <c r="A49" s="2">
        <v>45231</v>
      </c>
      <c r="B49" s="1" t="s">
        <v>25</v>
      </c>
      <c r="C49" s="1">
        <v>583332</v>
      </c>
      <c r="D49" s="1">
        <v>412088</v>
      </c>
    </row>
    <row r="50" spans="1:4" x14ac:dyDescent="0.35">
      <c r="A50" s="2">
        <v>45261</v>
      </c>
      <c r="B50" s="1" t="s">
        <v>35</v>
      </c>
      <c r="C50" s="1">
        <v>723496</v>
      </c>
      <c r="D50" s="1">
        <v>163641</v>
      </c>
    </row>
    <row r="51" spans="1:4" x14ac:dyDescent="0.35">
      <c r="A51" s="2">
        <v>45261</v>
      </c>
      <c r="B51" s="1" t="s">
        <v>15</v>
      </c>
      <c r="C51" s="1">
        <v>429483</v>
      </c>
      <c r="D51" s="1">
        <v>391726</v>
      </c>
    </row>
    <row r="52" spans="1:4" x14ac:dyDescent="0.35">
      <c r="A52" s="2">
        <v>45261</v>
      </c>
      <c r="B52" s="1" t="s">
        <v>38</v>
      </c>
      <c r="C52" s="1">
        <v>445510</v>
      </c>
      <c r="D52" s="1">
        <v>290738</v>
      </c>
    </row>
    <row r="53" spans="1:4" x14ac:dyDescent="0.35">
      <c r="A53" s="2">
        <v>45261</v>
      </c>
      <c r="B53" s="1" t="s">
        <v>25</v>
      </c>
      <c r="C53" s="1">
        <v>331883</v>
      </c>
      <c r="D53" s="1">
        <v>395226</v>
      </c>
    </row>
    <row r="54" spans="1:4" x14ac:dyDescent="0.35">
      <c r="A54" s="2">
        <v>45292</v>
      </c>
      <c r="B54" s="1" t="s">
        <v>35</v>
      </c>
      <c r="C54" s="1">
        <v>489050</v>
      </c>
      <c r="D54" s="1">
        <v>197773</v>
      </c>
    </row>
    <row r="55" spans="1:4" x14ac:dyDescent="0.35">
      <c r="A55" s="2">
        <v>45292</v>
      </c>
      <c r="B55" s="1" t="s">
        <v>15</v>
      </c>
      <c r="C55" s="1">
        <v>599918</v>
      </c>
      <c r="D55" s="1">
        <v>285287</v>
      </c>
    </row>
    <row r="56" spans="1:4" x14ac:dyDescent="0.35">
      <c r="A56" s="2">
        <v>45292</v>
      </c>
      <c r="B56" s="1" t="s">
        <v>38</v>
      </c>
      <c r="C56" s="1">
        <v>372559</v>
      </c>
      <c r="D56" s="1">
        <v>153741</v>
      </c>
    </row>
    <row r="57" spans="1:4" x14ac:dyDescent="0.35">
      <c r="A57" s="2">
        <v>45292</v>
      </c>
      <c r="B57" s="1" t="s">
        <v>25</v>
      </c>
      <c r="C57" s="1">
        <v>345102</v>
      </c>
      <c r="D57" s="1">
        <v>181946</v>
      </c>
    </row>
    <row r="58" spans="1:4" x14ac:dyDescent="0.35">
      <c r="A58" s="2">
        <v>45323</v>
      </c>
      <c r="B58" s="1" t="s">
        <v>35</v>
      </c>
      <c r="C58" s="1">
        <v>745478</v>
      </c>
      <c r="D58" s="1">
        <v>415806</v>
      </c>
    </row>
    <row r="59" spans="1:4" x14ac:dyDescent="0.35">
      <c r="A59" s="2">
        <v>45323</v>
      </c>
      <c r="B59" s="1" t="s">
        <v>15</v>
      </c>
      <c r="C59" s="1">
        <v>759462</v>
      </c>
      <c r="D59" s="1">
        <v>166918</v>
      </c>
    </row>
    <row r="60" spans="1:4" x14ac:dyDescent="0.35">
      <c r="A60" s="2">
        <v>45323</v>
      </c>
      <c r="B60" s="1" t="s">
        <v>38</v>
      </c>
      <c r="C60" s="1">
        <v>422273</v>
      </c>
      <c r="D60" s="1">
        <v>339020</v>
      </c>
    </row>
    <row r="61" spans="1:4" x14ac:dyDescent="0.35">
      <c r="A61" s="2">
        <v>45323</v>
      </c>
      <c r="B61" s="1" t="s">
        <v>25</v>
      </c>
      <c r="C61" s="1">
        <v>544425</v>
      </c>
      <c r="D61" s="1">
        <v>174094</v>
      </c>
    </row>
    <row r="62" spans="1:4" x14ac:dyDescent="0.35">
      <c r="A62" s="2">
        <v>45352</v>
      </c>
      <c r="B62" s="1" t="s">
        <v>35</v>
      </c>
      <c r="C62" s="1">
        <v>316762</v>
      </c>
      <c r="D62" s="1">
        <v>388578</v>
      </c>
    </row>
    <row r="63" spans="1:4" x14ac:dyDescent="0.35">
      <c r="A63" s="2">
        <v>45352</v>
      </c>
      <c r="B63" s="1" t="s">
        <v>15</v>
      </c>
      <c r="C63" s="1">
        <v>423483</v>
      </c>
      <c r="D63" s="1">
        <v>188834</v>
      </c>
    </row>
    <row r="64" spans="1:4" x14ac:dyDescent="0.35">
      <c r="A64" s="2">
        <v>45352</v>
      </c>
      <c r="B64" s="1" t="s">
        <v>38</v>
      </c>
      <c r="C64" s="1">
        <v>476559</v>
      </c>
      <c r="D64" s="1">
        <v>455872</v>
      </c>
    </row>
    <row r="65" spans="1:4" x14ac:dyDescent="0.35">
      <c r="A65" s="2">
        <v>45352</v>
      </c>
      <c r="B65" s="1" t="s">
        <v>25</v>
      </c>
      <c r="C65" s="1">
        <v>464839</v>
      </c>
      <c r="D65" s="1">
        <v>335829</v>
      </c>
    </row>
    <row r="66" spans="1:4" x14ac:dyDescent="0.35">
      <c r="A66" s="2">
        <v>45383</v>
      </c>
      <c r="B66" s="1" t="s">
        <v>35</v>
      </c>
      <c r="C66" s="1">
        <v>623102</v>
      </c>
      <c r="D66" s="1">
        <v>184426</v>
      </c>
    </row>
    <row r="67" spans="1:4" x14ac:dyDescent="0.35">
      <c r="A67" s="2">
        <v>45383</v>
      </c>
      <c r="B67" s="1" t="s">
        <v>15</v>
      </c>
      <c r="C67" s="1">
        <v>390921</v>
      </c>
      <c r="D67" s="1">
        <v>490252</v>
      </c>
    </row>
    <row r="68" spans="1:4" x14ac:dyDescent="0.35">
      <c r="A68" s="2">
        <v>45383</v>
      </c>
      <c r="B68" s="1" t="s">
        <v>38</v>
      </c>
      <c r="C68" s="1">
        <v>526286</v>
      </c>
      <c r="D68" s="1">
        <v>331337</v>
      </c>
    </row>
    <row r="69" spans="1:4" x14ac:dyDescent="0.35">
      <c r="A69" s="2">
        <v>45383</v>
      </c>
      <c r="B69" s="1" t="s">
        <v>25</v>
      </c>
      <c r="C69" s="1">
        <v>485722</v>
      </c>
      <c r="D69" s="1">
        <v>248440</v>
      </c>
    </row>
    <row r="70" spans="1:4" x14ac:dyDescent="0.35">
      <c r="A70" s="2">
        <v>45413</v>
      </c>
      <c r="B70" s="1" t="s">
        <v>35</v>
      </c>
      <c r="C70" s="1">
        <v>775922</v>
      </c>
      <c r="D70" s="1">
        <v>414209</v>
      </c>
    </row>
    <row r="71" spans="1:4" x14ac:dyDescent="0.35">
      <c r="A71" s="2">
        <v>45413</v>
      </c>
      <c r="B71" s="1" t="s">
        <v>15</v>
      </c>
      <c r="C71" s="1">
        <v>329003</v>
      </c>
      <c r="D71" s="1">
        <v>481111</v>
      </c>
    </row>
    <row r="72" spans="1:4" x14ac:dyDescent="0.35">
      <c r="A72" s="2">
        <v>45413</v>
      </c>
      <c r="B72" s="1" t="s">
        <v>38</v>
      </c>
      <c r="C72" s="1">
        <v>579383</v>
      </c>
      <c r="D72" s="1">
        <v>280872</v>
      </c>
    </row>
    <row r="73" spans="1:4" x14ac:dyDescent="0.35">
      <c r="A73" s="2">
        <v>45413</v>
      </c>
      <c r="B73" s="1" t="s">
        <v>25</v>
      </c>
      <c r="C73" s="1">
        <v>556192</v>
      </c>
      <c r="D73" s="1">
        <v>167299</v>
      </c>
    </row>
    <row r="74" spans="1:4" x14ac:dyDescent="0.35">
      <c r="A74" s="2">
        <v>45444</v>
      </c>
      <c r="B74" s="1" t="s">
        <v>35</v>
      </c>
      <c r="C74" s="1">
        <v>756259</v>
      </c>
      <c r="D74" s="1">
        <v>363123</v>
      </c>
    </row>
    <row r="75" spans="1:4" x14ac:dyDescent="0.35">
      <c r="A75" s="2">
        <v>45444</v>
      </c>
      <c r="B75" s="1" t="s">
        <v>15</v>
      </c>
      <c r="C75" s="1">
        <v>373097</v>
      </c>
      <c r="D75" s="1">
        <v>365662</v>
      </c>
    </row>
    <row r="76" spans="1:4" x14ac:dyDescent="0.35">
      <c r="A76" s="2">
        <v>45444</v>
      </c>
      <c r="B76" s="1" t="s">
        <v>38</v>
      </c>
      <c r="C76" s="1">
        <v>472974</v>
      </c>
      <c r="D76" s="1">
        <v>277986</v>
      </c>
    </row>
    <row r="77" spans="1:4" x14ac:dyDescent="0.35">
      <c r="A77" s="2">
        <v>45444</v>
      </c>
      <c r="B77" s="1" t="s">
        <v>25</v>
      </c>
      <c r="C77" s="1">
        <v>645557</v>
      </c>
      <c r="D77" s="1">
        <v>420789</v>
      </c>
    </row>
    <row r="78" spans="1:4" x14ac:dyDescent="0.35">
      <c r="A78" s="2">
        <v>45474</v>
      </c>
      <c r="B78" s="1" t="s">
        <v>35</v>
      </c>
      <c r="C78" s="1">
        <v>413276</v>
      </c>
      <c r="D78" s="1">
        <v>492634</v>
      </c>
    </row>
    <row r="79" spans="1:4" x14ac:dyDescent="0.35">
      <c r="A79" s="2">
        <v>45474</v>
      </c>
      <c r="B79" s="1" t="s">
        <v>15</v>
      </c>
      <c r="C79" s="1">
        <v>721534</v>
      </c>
      <c r="D79" s="1">
        <v>450135</v>
      </c>
    </row>
    <row r="80" spans="1:4" x14ac:dyDescent="0.35">
      <c r="A80" s="2">
        <v>45474</v>
      </c>
      <c r="B80" s="1" t="s">
        <v>38</v>
      </c>
      <c r="C80" s="1">
        <v>605367</v>
      </c>
      <c r="D80" s="1">
        <v>213610</v>
      </c>
    </row>
    <row r="81" spans="1:7" x14ac:dyDescent="0.35">
      <c r="A81" s="2">
        <v>45474</v>
      </c>
      <c r="B81" s="1" t="s">
        <v>25</v>
      </c>
      <c r="C81" s="1">
        <v>530564</v>
      </c>
      <c r="D81" s="1">
        <v>466500</v>
      </c>
    </row>
    <row r="82" spans="1:7" x14ac:dyDescent="0.35">
      <c r="A82" s="2">
        <v>45505</v>
      </c>
      <c r="B82" s="1" t="s">
        <v>35</v>
      </c>
      <c r="C82" s="1">
        <v>332135</v>
      </c>
      <c r="D82" s="1">
        <v>161963</v>
      </c>
    </row>
    <row r="83" spans="1:7" x14ac:dyDescent="0.35">
      <c r="A83" s="2">
        <v>45505</v>
      </c>
      <c r="B83" s="1" t="s">
        <v>15</v>
      </c>
      <c r="C83" s="1">
        <v>604420</v>
      </c>
      <c r="D83" s="1">
        <v>228742</v>
      </c>
    </row>
    <row r="84" spans="1:7" x14ac:dyDescent="0.35">
      <c r="A84" s="2">
        <v>45505</v>
      </c>
      <c r="B84" s="1" t="s">
        <v>38</v>
      </c>
      <c r="C84" s="1">
        <v>751981</v>
      </c>
      <c r="D84" s="1">
        <v>429114</v>
      </c>
    </row>
    <row r="85" spans="1:7" x14ac:dyDescent="0.35">
      <c r="A85" s="2">
        <v>45505</v>
      </c>
      <c r="B85" s="1" t="s">
        <v>25</v>
      </c>
      <c r="C85" s="1">
        <v>604589</v>
      </c>
      <c r="D85" s="1">
        <v>248720</v>
      </c>
    </row>
    <row r="86" spans="1:7" x14ac:dyDescent="0.35">
      <c r="A86" s="2">
        <v>45536</v>
      </c>
      <c r="B86" s="1" t="s">
        <v>35</v>
      </c>
      <c r="C86" s="1">
        <v>482179</v>
      </c>
      <c r="D86" s="1">
        <v>352122</v>
      </c>
    </row>
    <row r="87" spans="1:7" x14ac:dyDescent="0.35">
      <c r="A87" s="2">
        <v>45536</v>
      </c>
      <c r="B87" s="1" t="s">
        <v>15</v>
      </c>
      <c r="C87" s="1">
        <v>785752</v>
      </c>
      <c r="D87" s="1">
        <v>234662</v>
      </c>
    </row>
    <row r="88" spans="1:7" x14ac:dyDescent="0.35">
      <c r="A88" s="2">
        <v>45536</v>
      </c>
      <c r="B88" s="1" t="s">
        <v>38</v>
      </c>
      <c r="C88" s="1">
        <v>678848</v>
      </c>
      <c r="D88" s="1">
        <v>320314</v>
      </c>
    </row>
    <row r="89" spans="1:7" x14ac:dyDescent="0.35">
      <c r="A89" s="2">
        <v>45536</v>
      </c>
      <c r="B89" s="1" t="s">
        <v>25</v>
      </c>
      <c r="C89" s="1">
        <v>731850</v>
      </c>
      <c r="D89" s="1">
        <v>303155</v>
      </c>
    </row>
    <row r="90" spans="1:7" x14ac:dyDescent="0.35">
      <c r="A90" s="2">
        <v>45566</v>
      </c>
      <c r="B90" s="1" t="s">
        <v>35</v>
      </c>
      <c r="C90" s="1">
        <v>399776</v>
      </c>
      <c r="D90" s="1">
        <v>204321</v>
      </c>
    </row>
    <row r="91" spans="1:7" x14ac:dyDescent="0.35">
      <c r="A91" s="2">
        <v>45566</v>
      </c>
      <c r="B91" s="1" t="s">
        <v>15</v>
      </c>
      <c r="C91" s="1">
        <v>352318</v>
      </c>
      <c r="D91" s="1">
        <v>199743</v>
      </c>
      <c r="F91" s="2">
        <f>MAX(Budget_Data[Month])</f>
        <v>45597</v>
      </c>
      <c r="G91" s="2">
        <f>MIN(Budget_Data[Month])</f>
        <v>44927</v>
      </c>
    </row>
    <row r="92" spans="1:7" x14ac:dyDescent="0.35">
      <c r="A92" s="2">
        <v>45566</v>
      </c>
      <c r="B92" s="1" t="s">
        <v>38</v>
      </c>
      <c r="C92" s="1">
        <v>367353</v>
      </c>
      <c r="D92" s="1">
        <v>293480</v>
      </c>
    </row>
    <row r="93" spans="1:7" x14ac:dyDescent="0.35">
      <c r="A93" s="2">
        <v>45566</v>
      </c>
      <c r="B93" s="1" t="s">
        <v>25</v>
      </c>
      <c r="C93" s="1">
        <v>724352</v>
      </c>
      <c r="D93" s="1">
        <v>307454</v>
      </c>
    </row>
    <row r="94" spans="1:7" x14ac:dyDescent="0.35">
      <c r="A94" s="2">
        <v>45597</v>
      </c>
      <c r="B94" s="1" t="s">
        <v>35</v>
      </c>
      <c r="C94" s="1">
        <v>578642</v>
      </c>
      <c r="D94" s="1">
        <v>375531</v>
      </c>
    </row>
    <row r="95" spans="1:7" x14ac:dyDescent="0.35">
      <c r="A95" s="2">
        <v>45597</v>
      </c>
      <c r="B95" s="1" t="s">
        <v>15</v>
      </c>
      <c r="C95" s="1">
        <v>512464</v>
      </c>
      <c r="D95" s="1">
        <v>328127</v>
      </c>
    </row>
    <row r="96" spans="1:7" x14ac:dyDescent="0.35">
      <c r="A96" s="2">
        <v>45597</v>
      </c>
      <c r="B96" s="1" t="s">
        <v>38</v>
      </c>
      <c r="C96" s="1">
        <v>658905</v>
      </c>
      <c r="D96" s="1">
        <v>162605</v>
      </c>
    </row>
    <row r="97" spans="1:4" x14ac:dyDescent="0.35">
      <c r="A97" s="2">
        <v>45597</v>
      </c>
      <c r="B97" s="1" t="s">
        <v>25</v>
      </c>
      <c r="C97" s="1">
        <v>473452</v>
      </c>
      <c r="D97" s="1">
        <v>498061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01"/>
  <sheetViews>
    <sheetView workbookViewId="0">
      <selection activeCell="H11" sqref="H11"/>
    </sheetView>
  </sheetViews>
  <sheetFormatPr defaultRowHeight="14.5" x14ac:dyDescent="0.35"/>
  <cols>
    <col min="1" max="1" width="14.08984375" bestFit="1" customWidth="1"/>
    <col min="2" max="2" width="17.26953125" bestFit="1" customWidth="1"/>
    <col min="3" max="3" width="13" bestFit="1" customWidth="1"/>
    <col min="4" max="4" width="11.36328125" bestFit="1" customWidth="1"/>
    <col min="5" max="5" width="11.08984375" bestFit="1" customWidth="1"/>
    <col min="6" max="6" width="8.36328125" bestFit="1" customWidth="1"/>
    <col min="7" max="7" width="10.54296875" bestFit="1" customWidth="1"/>
    <col min="9" max="10" width="9.453125" bestFit="1" customWidth="1"/>
  </cols>
  <sheetData>
    <row r="1" spans="1:10" x14ac:dyDescent="0.35">
      <c r="A1" s="1" t="s">
        <v>73</v>
      </c>
      <c r="B1" s="1" t="s">
        <v>2</v>
      </c>
      <c r="C1" s="1" t="s">
        <v>74</v>
      </c>
      <c r="D1" s="1" t="s">
        <v>75</v>
      </c>
      <c r="E1" s="1" t="s">
        <v>76</v>
      </c>
      <c r="F1" s="1" t="s">
        <v>1494</v>
      </c>
      <c r="G1" s="1" t="s">
        <v>1495</v>
      </c>
    </row>
    <row r="2" spans="1:10" x14ac:dyDescent="0.35">
      <c r="A2" s="1" t="s">
        <v>77</v>
      </c>
      <c r="B2" s="1" t="s">
        <v>78</v>
      </c>
      <c r="C2" s="1" t="s">
        <v>79</v>
      </c>
      <c r="D2" s="2">
        <v>45212</v>
      </c>
      <c r="E2" s="1" t="s">
        <v>80</v>
      </c>
      <c r="F2" s="1" t="s">
        <v>1493</v>
      </c>
      <c r="G2" s="1"/>
      <c r="I2" s="2">
        <f>MAX(Customer_Data[Join_Date])</f>
        <v>45925</v>
      </c>
      <c r="J2" s="2">
        <f>MIN(Customer_Data[Join_Date])</f>
        <v>44938</v>
      </c>
    </row>
    <row r="3" spans="1:10" x14ac:dyDescent="0.35">
      <c r="A3" s="1" t="s">
        <v>81</v>
      </c>
      <c r="B3" s="1" t="s">
        <v>82</v>
      </c>
      <c r="C3" s="1" t="s">
        <v>79</v>
      </c>
      <c r="D3" s="2">
        <v>45900</v>
      </c>
      <c r="E3" s="1" t="s">
        <v>83</v>
      </c>
      <c r="F3" s="1" t="s">
        <v>1490</v>
      </c>
      <c r="G3" s="1"/>
    </row>
    <row r="4" spans="1:10" x14ac:dyDescent="0.35">
      <c r="A4" s="1" t="s">
        <v>84</v>
      </c>
      <c r="B4" s="1" t="s">
        <v>85</v>
      </c>
      <c r="C4" s="1" t="s">
        <v>86</v>
      </c>
      <c r="D4" s="2">
        <v>45206</v>
      </c>
      <c r="E4" s="1" t="s">
        <v>87</v>
      </c>
      <c r="F4" s="1" t="s">
        <v>1492</v>
      </c>
      <c r="G4" s="1"/>
    </row>
    <row r="5" spans="1:10" x14ac:dyDescent="0.35">
      <c r="A5" s="1" t="s">
        <v>88</v>
      </c>
      <c r="B5" s="1" t="s">
        <v>89</v>
      </c>
      <c r="C5" s="1" t="s">
        <v>90</v>
      </c>
      <c r="D5" s="2">
        <v>45921</v>
      </c>
      <c r="E5" s="1" t="s">
        <v>91</v>
      </c>
      <c r="F5" s="1" t="s">
        <v>1490</v>
      </c>
      <c r="G5" s="1"/>
    </row>
    <row r="6" spans="1:10" x14ac:dyDescent="0.35">
      <c r="A6" s="1" t="s">
        <v>92</v>
      </c>
      <c r="B6" s="1" t="s">
        <v>93</v>
      </c>
      <c r="C6" s="1" t="s">
        <v>86</v>
      </c>
      <c r="D6" s="2">
        <v>45544</v>
      </c>
      <c r="E6" s="1" t="s">
        <v>87</v>
      </c>
      <c r="F6" s="1" t="s">
        <v>1492</v>
      </c>
      <c r="G6" s="1"/>
    </row>
    <row r="7" spans="1:10" x14ac:dyDescent="0.35">
      <c r="A7" s="1" t="s">
        <v>94</v>
      </c>
      <c r="B7" s="1" t="s">
        <v>95</v>
      </c>
      <c r="C7" s="1" t="s">
        <v>90</v>
      </c>
      <c r="D7" s="2">
        <v>45197</v>
      </c>
      <c r="E7" s="1" t="s">
        <v>87</v>
      </c>
      <c r="F7" s="1" t="s">
        <v>1492</v>
      </c>
      <c r="G7" s="1"/>
    </row>
    <row r="8" spans="1:10" x14ac:dyDescent="0.35">
      <c r="A8" s="1" t="s">
        <v>96</v>
      </c>
      <c r="B8" s="1" t="s">
        <v>97</v>
      </c>
      <c r="C8" s="1" t="s">
        <v>79</v>
      </c>
      <c r="D8" s="2">
        <v>45677</v>
      </c>
      <c r="E8" s="1" t="s">
        <v>1496</v>
      </c>
      <c r="F8" s="1" t="s">
        <v>1491</v>
      </c>
      <c r="G8" s="1"/>
    </row>
    <row r="9" spans="1:10" x14ac:dyDescent="0.35">
      <c r="A9" s="1" t="s">
        <v>98</v>
      </c>
      <c r="B9" s="1" t="s">
        <v>99</v>
      </c>
      <c r="C9" s="1" t="s">
        <v>79</v>
      </c>
      <c r="D9" s="2">
        <v>45519</v>
      </c>
      <c r="E9" s="1" t="s">
        <v>83</v>
      </c>
      <c r="F9" s="1" t="s">
        <v>1490</v>
      </c>
      <c r="G9" s="1"/>
    </row>
    <row r="10" spans="1:10" x14ac:dyDescent="0.35">
      <c r="A10" s="1" t="s">
        <v>100</v>
      </c>
      <c r="B10" s="1" t="s">
        <v>101</v>
      </c>
      <c r="C10" s="1" t="s">
        <v>86</v>
      </c>
      <c r="D10" s="2">
        <v>45585</v>
      </c>
      <c r="E10" s="1" t="s">
        <v>80</v>
      </c>
      <c r="F10" s="1" t="s">
        <v>1493</v>
      </c>
      <c r="G10" s="1"/>
    </row>
    <row r="11" spans="1:10" x14ac:dyDescent="0.35">
      <c r="A11" s="1" t="s">
        <v>102</v>
      </c>
      <c r="B11" s="1" t="s">
        <v>103</v>
      </c>
      <c r="C11" s="1" t="s">
        <v>86</v>
      </c>
      <c r="D11" s="2">
        <v>44982</v>
      </c>
      <c r="E11" s="1" t="s">
        <v>91</v>
      </c>
      <c r="F11" s="1" t="s">
        <v>1490</v>
      </c>
      <c r="G11" s="1"/>
    </row>
    <row r="12" spans="1:10" x14ac:dyDescent="0.35">
      <c r="A12" s="1" t="s">
        <v>104</v>
      </c>
      <c r="B12" s="1" t="s">
        <v>105</v>
      </c>
      <c r="C12" s="1" t="s">
        <v>90</v>
      </c>
      <c r="D12" s="2">
        <v>45143</v>
      </c>
      <c r="E12" s="1" t="s">
        <v>80</v>
      </c>
      <c r="F12" s="1" t="s">
        <v>1493</v>
      </c>
      <c r="G12" s="1"/>
    </row>
    <row r="13" spans="1:10" x14ac:dyDescent="0.35">
      <c r="A13" s="1" t="s">
        <v>106</v>
      </c>
      <c r="B13" s="1" t="s">
        <v>107</v>
      </c>
      <c r="C13" s="1" t="s">
        <v>90</v>
      </c>
      <c r="D13" s="2">
        <v>45678</v>
      </c>
      <c r="E13" s="1" t="s">
        <v>91</v>
      </c>
      <c r="F13" s="1" t="s">
        <v>1490</v>
      </c>
      <c r="G13" s="1"/>
    </row>
    <row r="14" spans="1:10" x14ac:dyDescent="0.35">
      <c r="A14" s="1" t="s">
        <v>108</v>
      </c>
      <c r="B14" s="1" t="s">
        <v>50</v>
      </c>
      <c r="C14" s="1" t="s">
        <v>86</v>
      </c>
      <c r="D14" s="2">
        <v>45685</v>
      </c>
      <c r="E14" s="1" t="s">
        <v>87</v>
      </c>
      <c r="F14" s="1" t="s">
        <v>1492</v>
      </c>
      <c r="G14" s="1"/>
    </row>
    <row r="15" spans="1:10" x14ac:dyDescent="0.35">
      <c r="A15" s="1" t="s">
        <v>109</v>
      </c>
      <c r="B15" s="1" t="s">
        <v>110</v>
      </c>
      <c r="C15" s="1" t="s">
        <v>90</v>
      </c>
      <c r="D15" s="2">
        <v>45457</v>
      </c>
      <c r="E15" s="1" t="s">
        <v>87</v>
      </c>
      <c r="F15" s="1" t="s">
        <v>1492</v>
      </c>
      <c r="G15" s="1"/>
    </row>
    <row r="16" spans="1:10" x14ac:dyDescent="0.35">
      <c r="A16" s="1" t="s">
        <v>111</v>
      </c>
      <c r="B16" s="1" t="s">
        <v>112</v>
      </c>
      <c r="C16" s="1" t="s">
        <v>79</v>
      </c>
      <c r="D16" s="2">
        <v>45591</v>
      </c>
      <c r="E16" s="1" t="s">
        <v>80</v>
      </c>
      <c r="F16" s="1" t="s">
        <v>1493</v>
      </c>
      <c r="G16" s="1"/>
    </row>
    <row r="17" spans="1:7" x14ac:dyDescent="0.35">
      <c r="A17" s="1" t="s">
        <v>113</v>
      </c>
      <c r="B17" s="1" t="s">
        <v>114</v>
      </c>
      <c r="C17" s="1" t="s">
        <v>86</v>
      </c>
      <c r="D17" s="2">
        <v>45288</v>
      </c>
      <c r="E17" s="1" t="s">
        <v>91</v>
      </c>
      <c r="F17" s="1" t="s">
        <v>1490</v>
      </c>
      <c r="G17" s="1"/>
    </row>
    <row r="18" spans="1:7" x14ac:dyDescent="0.35">
      <c r="A18" s="1" t="s">
        <v>115</v>
      </c>
      <c r="B18" s="1" t="s">
        <v>116</v>
      </c>
      <c r="C18" s="1" t="s">
        <v>90</v>
      </c>
      <c r="D18" s="2">
        <v>45602</v>
      </c>
      <c r="E18" s="1" t="s">
        <v>91</v>
      </c>
      <c r="F18" s="1" t="s">
        <v>1490</v>
      </c>
      <c r="G18" s="1"/>
    </row>
    <row r="19" spans="1:7" x14ac:dyDescent="0.35">
      <c r="A19" s="1" t="s">
        <v>117</v>
      </c>
      <c r="B19" s="1" t="s">
        <v>118</v>
      </c>
      <c r="C19" s="1" t="s">
        <v>79</v>
      </c>
      <c r="D19" s="2">
        <v>45163</v>
      </c>
      <c r="E19" s="1" t="s">
        <v>87</v>
      </c>
      <c r="F19" s="1" t="s">
        <v>1492</v>
      </c>
      <c r="G19" s="1"/>
    </row>
    <row r="20" spans="1:7" x14ac:dyDescent="0.35">
      <c r="A20" s="1" t="s">
        <v>119</v>
      </c>
      <c r="B20" s="1" t="s">
        <v>120</v>
      </c>
      <c r="C20" s="1" t="s">
        <v>90</v>
      </c>
      <c r="D20" s="2">
        <v>45175</v>
      </c>
      <c r="E20" s="1" t="s">
        <v>83</v>
      </c>
      <c r="F20" s="1" t="s">
        <v>1490</v>
      </c>
      <c r="G20" s="1"/>
    </row>
    <row r="21" spans="1:7" x14ac:dyDescent="0.35">
      <c r="A21" s="1" t="s">
        <v>121</v>
      </c>
      <c r="B21" s="1" t="s">
        <v>59</v>
      </c>
      <c r="C21" s="1" t="s">
        <v>79</v>
      </c>
      <c r="D21" s="2">
        <v>45068</v>
      </c>
      <c r="E21" s="1" t="s">
        <v>87</v>
      </c>
      <c r="F21" s="1" t="s">
        <v>1492</v>
      </c>
      <c r="G21" s="1"/>
    </row>
    <row r="22" spans="1:7" x14ac:dyDescent="0.35">
      <c r="A22" s="1" t="s">
        <v>122</v>
      </c>
      <c r="B22" s="1" t="s">
        <v>123</v>
      </c>
      <c r="C22" s="1" t="s">
        <v>90</v>
      </c>
      <c r="D22" s="2">
        <v>45571</v>
      </c>
      <c r="E22" s="1" t="s">
        <v>91</v>
      </c>
      <c r="F22" s="1" t="s">
        <v>1490</v>
      </c>
      <c r="G22" s="1"/>
    </row>
    <row r="23" spans="1:7" x14ac:dyDescent="0.35">
      <c r="A23" s="1" t="s">
        <v>124</v>
      </c>
      <c r="B23" s="1" t="s">
        <v>125</v>
      </c>
      <c r="C23" s="1" t="s">
        <v>90</v>
      </c>
      <c r="D23" s="2">
        <v>45222</v>
      </c>
      <c r="E23" s="1" t="s">
        <v>87</v>
      </c>
      <c r="F23" s="1" t="s">
        <v>1492</v>
      </c>
      <c r="G23" s="1"/>
    </row>
    <row r="24" spans="1:7" x14ac:dyDescent="0.35">
      <c r="A24" s="1" t="s">
        <v>126</v>
      </c>
      <c r="B24" s="1" t="s">
        <v>62</v>
      </c>
      <c r="C24" s="1" t="s">
        <v>86</v>
      </c>
      <c r="D24" s="2">
        <v>44946</v>
      </c>
      <c r="E24" s="1" t="s">
        <v>87</v>
      </c>
      <c r="F24" s="1" t="s">
        <v>1492</v>
      </c>
      <c r="G24" s="1"/>
    </row>
    <row r="25" spans="1:7" x14ac:dyDescent="0.35">
      <c r="A25" s="1" t="s">
        <v>127</v>
      </c>
      <c r="B25" s="1" t="s">
        <v>128</v>
      </c>
      <c r="C25" s="1" t="s">
        <v>90</v>
      </c>
      <c r="D25" s="2">
        <v>45294</v>
      </c>
      <c r="E25" s="1" t="s">
        <v>91</v>
      </c>
      <c r="F25" s="1" t="s">
        <v>1490</v>
      </c>
      <c r="G25" s="1"/>
    </row>
    <row r="26" spans="1:7" x14ac:dyDescent="0.35">
      <c r="A26" s="1" t="s">
        <v>129</v>
      </c>
      <c r="B26" s="1" t="s">
        <v>130</v>
      </c>
      <c r="C26" s="1" t="s">
        <v>86</v>
      </c>
      <c r="D26" s="2">
        <v>45599</v>
      </c>
      <c r="E26" s="1" t="s">
        <v>91</v>
      </c>
      <c r="F26" s="1" t="s">
        <v>1490</v>
      </c>
      <c r="G26" s="1"/>
    </row>
    <row r="27" spans="1:7" x14ac:dyDescent="0.35">
      <c r="A27" s="1" t="s">
        <v>131</v>
      </c>
      <c r="B27" s="1" t="s">
        <v>132</v>
      </c>
      <c r="C27" s="1" t="s">
        <v>79</v>
      </c>
      <c r="D27" s="2">
        <v>45059</v>
      </c>
      <c r="E27" s="1" t="s">
        <v>83</v>
      </c>
      <c r="F27" s="1" t="s">
        <v>1490</v>
      </c>
      <c r="G27" s="1"/>
    </row>
    <row r="28" spans="1:7" x14ac:dyDescent="0.35">
      <c r="A28" s="1" t="s">
        <v>133</v>
      </c>
      <c r="B28" s="1" t="s">
        <v>134</v>
      </c>
      <c r="C28" s="1" t="s">
        <v>90</v>
      </c>
      <c r="D28" s="2">
        <v>45662</v>
      </c>
      <c r="E28" s="1" t="s">
        <v>87</v>
      </c>
      <c r="F28" s="1" t="s">
        <v>1492</v>
      </c>
      <c r="G28" s="1"/>
    </row>
    <row r="29" spans="1:7" x14ac:dyDescent="0.35">
      <c r="A29" s="1" t="s">
        <v>135</v>
      </c>
      <c r="B29" s="1" t="s">
        <v>136</v>
      </c>
      <c r="C29" s="1" t="s">
        <v>90</v>
      </c>
      <c r="D29" s="2">
        <v>45062</v>
      </c>
      <c r="E29" s="1" t="s">
        <v>83</v>
      </c>
      <c r="F29" s="1" t="s">
        <v>1490</v>
      </c>
      <c r="G29" s="1"/>
    </row>
    <row r="30" spans="1:7" x14ac:dyDescent="0.35">
      <c r="A30" s="1" t="s">
        <v>137</v>
      </c>
      <c r="B30" s="1" t="s">
        <v>138</v>
      </c>
      <c r="C30" s="1" t="s">
        <v>90</v>
      </c>
      <c r="D30" s="2">
        <v>45306</v>
      </c>
      <c r="E30" s="1" t="s">
        <v>83</v>
      </c>
      <c r="F30" s="1" t="s">
        <v>1490</v>
      </c>
      <c r="G30" s="1"/>
    </row>
    <row r="31" spans="1:7" x14ac:dyDescent="0.35">
      <c r="A31" s="1" t="s">
        <v>139</v>
      </c>
      <c r="B31" s="1" t="s">
        <v>140</v>
      </c>
      <c r="C31" s="1" t="s">
        <v>86</v>
      </c>
      <c r="D31" s="2">
        <v>45893</v>
      </c>
      <c r="E31" s="1" t="s">
        <v>83</v>
      </c>
      <c r="F31" s="1" t="s">
        <v>1490</v>
      </c>
      <c r="G31" s="1"/>
    </row>
    <row r="32" spans="1:7" x14ac:dyDescent="0.35">
      <c r="A32" s="1" t="s">
        <v>141</v>
      </c>
      <c r="B32" s="1" t="s">
        <v>142</v>
      </c>
      <c r="C32" s="1" t="s">
        <v>90</v>
      </c>
      <c r="D32" s="2">
        <v>45743</v>
      </c>
      <c r="E32" s="1" t="s">
        <v>80</v>
      </c>
      <c r="F32" s="1" t="s">
        <v>1493</v>
      </c>
      <c r="G32" s="1"/>
    </row>
    <row r="33" spans="1:7" x14ac:dyDescent="0.35">
      <c r="A33" s="1" t="s">
        <v>143</v>
      </c>
      <c r="B33" s="1" t="s">
        <v>144</v>
      </c>
      <c r="C33" s="1" t="s">
        <v>79</v>
      </c>
      <c r="D33" s="2">
        <v>44938</v>
      </c>
      <c r="E33" s="1" t="s">
        <v>80</v>
      </c>
      <c r="F33" s="1" t="s">
        <v>1493</v>
      </c>
      <c r="G33" s="1"/>
    </row>
    <row r="34" spans="1:7" x14ac:dyDescent="0.35">
      <c r="A34" s="1" t="s">
        <v>145</v>
      </c>
      <c r="B34" s="1" t="s">
        <v>146</v>
      </c>
      <c r="C34" s="1" t="s">
        <v>86</v>
      </c>
      <c r="D34" s="2">
        <v>45111</v>
      </c>
      <c r="E34" s="1" t="s">
        <v>1496</v>
      </c>
      <c r="F34" s="1" t="s">
        <v>1491</v>
      </c>
      <c r="G34" s="1"/>
    </row>
    <row r="35" spans="1:7" x14ac:dyDescent="0.35">
      <c r="A35" s="1" t="s">
        <v>147</v>
      </c>
      <c r="B35" s="1" t="s">
        <v>148</v>
      </c>
      <c r="C35" s="1" t="s">
        <v>86</v>
      </c>
      <c r="D35" s="2">
        <v>45840</v>
      </c>
      <c r="E35" s="1" t="s">
        <v>80</v>
      </c>
      <c r="F35" s="1" t="s">
        <v>1493</v>
      </c>
      <c r="G35" s="1"/>
    </row>
    <row r="36" spans="1:7" x14ac:dyDescent="0.35">
      <c r="A36" s="1" t="s">
        <v>149</v>
      </c>
      <c r="B36" s="1" t="s">
        <v>150</v>
      </c>
      <c r="C36" s="1" t="s">
        <v>86</v>
      </c>
      <c r="D36" s="2">
        <v>45228</v>
      </c>
      <c r="E36" s="1" t="s">
        <v>83</v>
      </c>
      <c r="F36" s="1" t="s">
        <v>1490</v>
      </c>
      <c r="G36" s="1"/>
    </row>
    <row r="37" spans="1:7" x14ac:dyDescent="0.35">
      <c r="A37" s="1" t="s">
        <v>151</v>
      </c>
      <c r="B37" s="1" t="s">
        <v>152</v>
      </c>
      <c r="C37" s="1" t="s">
        <v>79</v>
      </c>
      <c r="D37" s="2">
        <v>45534</v>
      </c>
      <c r="E37" s="1" t="s">
        <v>80</v>
      </c>
      <c r="F37" s="1" t="s">
        <v>1493</v>
      </c>
      <c r="G37" s="1"/>
    </row>
    <row r="38" spans="1:7" x14ac:dyDescent="0.35">
      <c r="A38" s="1" t="s">
        <v>153</v>
      </c>
      <c r="B38" s="1" t="s">
        <v>154</v>
      </c>
      <c r="C38" s="1" t="s">
        <v>86</v>
      </c>
      <c r="D38" s="2">
        <v>45365</v>
      </c>
      <c r="E38" s="1" t="s">
        <v>80</v>
      </c>
      <c r="F38" s="1" t="s">
        <v>1493</v>
      </c>
      <c r="G38" s="1"/>
    </row>
    <row r="39" spans="1:7" x14ac:dyDescent="0.35">
      <c r="A39" s="1" t="s">
        <v>155</v>
      </c>
      <c r="B39" s="1" t="s">
        <v>24</v>
      </c>
      <c r="C39" s="1" t="s">
        <v>90</v>
      </c>
      <c r="D39" s="2">
        <v>45886</v>
      </c>
      <c r="E39" s="1" t="s">
        <v>1496</v>
      </c>
      <c r="F39" s="1" t="s">
        <v>1491</v>
      </c>
      <c r="G39" s="1"/>
    </row>
    <row r="40" spans="1:7" x14ac:dyDescent="0.35">
      <c r="A40" s="1" t="s">
        <v>156</v>
      </c>
      <c r="B40" s="1" t="s">
        <v>157</v>
      </c>
      <c r="C40" s="1" t="s">
        <v>79</v>
      </c>
      <c r="D40" s="2">
        <v>45381</v>
      </c>
      <c r="E40" s="1" t="s">
        <v>91</v>
      </c>
      <c r="F40" s="1" t="s">
        <v>1490</v>
      </c>
      <c r="G40" s="1"/>
    </row>
    <row r="41" spans="1:7" x14ac:dyDescent="0.35">
      <c r="A41" s="1" t="s">
        <v>158</v>
      </c>
      <c r="B41" s="1" t="s">
        <v>47</v>
      </c>
      <c r="C41" s="1" t="s">
        <v>90</v>
      </c>
      <c r="D41" s="2">
        <v>45373</v>
      </c>
      <c r="E41" s="1" t="s">
        <v>87</v>
      </c>
      <c r="F41" s="1" t="s">
        <v>1492</v>
      </c>
      <c r="G41" s="1"/>
    </row>
    <row r="42" spans="1:7" x14ac:dyDescent="0.35">
      <c r="A42" s="1" t="s">
        <v>1293</v>
      </c>
      <c r="B42" s="1" t="s">
        <v>365</v>
      </c>
      <c r="C42" s="1" t="s">
        <v>90</v>
      </c>
      <c r="D42" s="2">
        <v>45846</v>
      </c>
      <c r="E42" s="1" t="s">
        <v>80</v>
      </c>
      <c r="F42" s="1" t="s">
        <v>1493</v>
      </c>
      <c r="G42" s="1"/>
    </row>
    <row r="43" spans="1:7" x14ac:dyDescent="0.35">
      <c r="A43" s="1" t="s">
        <v>1294</v>
      </c>
      <c r="B43" s="1" t="s">
        <v>161</v>
      </c>
      <c r="C43" s="1" t="s">
        <v>90</v>
      </c>
      <c r="D43" s="2">
        <v>45408</v>
      </c>
      <c r="E43" s="1" t="s">
        <v>91</v>
      </c>
      <c r="F43" s="1" t="s">
        <v>1490</v>
      </c>
      <c r="G43" s="1"/>
    </row>
    <row r="44" spans="1:7" x14ac:dyDescent="0.35">
      <c r="A44" s="1" t="s">
        <v>1295</v>
      </c>
      <c r="B44" s="1" t="s">
        <v>37</v>
      </c>
      <c r="C44" s="1" t="s">
        <v>79</v>
      </c>
      <c r="D44" s="2">
        <v>45527</v>
      </c>
      <c r="E44" s="1" t="s">
        <v>80</v>
      </c>
      <c r="F44" s="1" t="s">
        <v>1493</v>
      </c>
      <c r="G44" s="1"/>
    </row>
    <row r="45" spans="1:7" x14ac:dyDescent="0.35">
      <c r="A45" s="1" t="s">
        <v>1296</v>
      </c>
      <c r="B45" s="1" t="s">
        <v>308</v>
      </c>
      <c r="C45" s="1" t="s">
        <v>79</v>
      </c>
      <c r="D45" s="2">
        <v>45796</v>
      </c>
      <c r="E45" s="1" t="s">
        <v>83</v>
      </c>
      <c r="F45" s="1" t="s">
        <v>1490</v>
      </c>
      <c r="G45" s="1"/>
    </row>
    <row r="46" spans="1:7" x14ac:dyDescent="0.35">
      <c r="A46" s="1" t="s">
        <v>1297</v>
      </c>
      <c r="B46" s="1" t="s">
        <v>500</v>
      </c>
      <c r="C46" s="1" t="s">
        <v>79</v>
      </c>
      <c r="D46" s="2">
        <v>45367</v>
      </c>
      <c r="E46" s="1" t="s">
        <v>87</v>
      </c>
      <c r="F46" s="1" t="s">
        <v>1492</v>
      </c>
      <c r="G46" s="1"/>
    </row>
    <row r="47" spans="1:7" x14ac:dyDescent="0.35">
      <c r="A47" s="1" t="s">
        <v>1298</v>
      </c>
      <c r="B47" s="1" t="s">
        <v>214</v>
      </c>
      <c r="C47" s="1" t="s">
        <v>79</v>
      </c>
      <c r="D47" s="2">
        <v>45785</v>
      </c>
      <c r="E47" s="1" t="s">
        <v>1496</v>
      </c>
      <c r="F47" s="1" t="s">
        <v>1491</v>
      </c>
      <c r="G47" s="1"/>
    </row>
    <row r="48" spans="1:7" x14ac:dyDescent="0.35">
      <c r="A48" s="1" t="s">
        <v>1299</v>
      </c>
      <c r="B48" s="1" t="s">
        <v>552</v>
      </c>
      <c r="C48" s="1" t="s">
        <v>79</v>
      </c>
      <c r="D48" s="2">
        <v>45667</v>
      </c>
      <c r="E48" s="1" t="s">
        <v>87</v>
      </c>
      <c r="F48" s="1" t="s">
        <v>1492</v>
      </c>
      <c r="G48" s="1"/>
    </row>
    <row r="49" spans="1:7" x14ac:dyDescent="0.35">
      <c r="A49" s="1" t="s">
        <v>1300</v>
      </c>
      <c r="B49" s="1" t="s">
        <v>271</v>
      </c>
      <c r="C49" s="1" t="s">
        <v>86</v>
      </c>
      <c r="D49" s="2">
        <v>45384</v>
      </c>
      <c r="E49" s="1" t="s">
        <v>87</v>
      </c>
      <c r="F49" s="1" t="s">
        <v>1492</v>
      </c>
      <c r="G49" s="1"/>
    </row>
    <row r="50" spans="1:7" x14ac:dyDescent="0.35">
      <c r="A50" s="1" t="s">
        <v>1301</v>
      </c>
      <c r="B50" s="1" t="s">
        <v>378</v>
      </c>
      <c r="C50" s="1" t="s">
        <v>86</v>
      </c>
      <c r="D50" s="2">
        <v>45725</v>
      </c>
      <c r="E50" s="1" t="s">
        <v>1496</v>
      </c>
      <c r="F50" s="1" t="s">
        <v>1491</v>
      </c>
      <c r="G50" s="1"/>
    </row>
    <row r="51" spans="1:7" x14ac:dyDescent="0.35">
      <c r="A51" s="1" t="s">
        <v>1302</v>
      </c>
      <c r="B51" s="1" t="s">
        <v>229</v>
      </c>
      <c r="C51" s="1" t="s">
        <v>90</v>
      </c>
      <c r="D51" s="2">
        <v>45556</v>
      </c>
      <c r="E51" s="1" t="s">
        <v>87</v>
      </c>
      <c r="F51" s="1" t="s">
        <v>1492</v>
      </c>
      <c r="G51" s="1"/>
    </row>
    <row r="52" spans="1:7" x14ac:dyDescent="0.35">
      <c r="A52" s="1" t="s">
        <v>1303</v>
      </c>
      <c r="B52" s="1" t="s">
        <v>819</v>
      </c>
      <c r="C52" s="1" t="s">
        <v>79</v>
      </c>
      <c r="D52" s="2">
        <v>45675</v>
      </c>
      <c r="E52" s="1" t="s">
        <v>91</v>
      </c>
      <c r="F52" s="1" t="s">
        <v>1490</v>
      </c>
      <c r="G52" s="1"/>
    </row>
    <row r="53" spans="1:7" x14ac:dyDescent="0.35">
      <c r="A53" s="1" t="s">
        <v>1304</v>
      </c>
      <c r="B53" s="1" t="s">
        <v>302</v>
      </c>
      <c r="C53" s="1" t="s">
        <v>90</v>
      </c>
      <c r="D53" s="2">
        <v>45071</v>
      </c>
      <c r="E53" s="1" t="s">
        <v>1496</v>
      </c>
      <c r="F53" s="1" t="s">
        <v>1491</v>
      </c>
      <c r="G53" s="1"/>
    </row>
    <row r="54" spans="1:7" x14ac:dyDescent="0.35">
      <c r="A54" s="1" t="s">
        <v>1305</v>
      </c>
      <c r="B54" s="1" t="s">
        <v>282</v>
      </c>
      <c r="C54" s="1" t="s">
        <v>86</v>
      </c>
      <c r="D54" s="2">
        <v>45239</v>
      </c>
      <c r="E54" s="1" t="s">
        <v>87</v>
      </c>
      <c r="F54" s="1" t="s">
        <v>1492</v>
      </c>
      <c r="G54" s="1"/>
    </row>
    <row r="55" spans="1:7" x14ac:dyDescent="0.35">
      <c r="A55" s="1" t="s">
        <v>1306</v>
      </c>
      <c r="B55" s="1" t="s">
        <v>400</v>
      </c>
      <c r="C55" s="1" t="s">
        <v>79</v>
      </c>
      <c r="D55" s="2">
        <v>45802</v>
      </c>
      <c r="E55" s="1" t="s">
        <v>80</v>
      </c>
      <c r="F55" s="1" t="s">
        <v>1493</v>
      </c>
      <c r="G55" s="1"/>
    </row>
    <row r="56" spans="1:7" x14ac:dyDescent="0.35">
      <c r="A56" s="1" t="s">
        <v>1307</v>
      </c>
      <c r="B56" s="1" t="s">
        <v>382</v>
      </c>
      <c r="C56" s="1" t="s">
        <v>79</v>
      </c>
      <c r="D56" s="2">
        <v>45157</v>
      </c>
      <c r="E56" s="1" t="s">
        <v>91</v>
      </c>
      <c r="F56" s="1" t="s">
        <v>1490</v>
      </c>
      <c r="G56" s="1"/>
    </row>
    <row r="57" spans="1:7" x14ac:dyDescent="0.35">
      <c r="A57" s="1" t="s">
        <v>1308</v>
      </c>
      <c r="B57" s="1" t="s">
        <v>262</v>
      </c>
      <c r="C57" s="1" t="s">
        <v>86</v>
      </c>
      <c r="D57" s="2">
        <v>45529</v>
      </c>
      <c r="E57" s="1" t="s">
        <v>91</v>
      </c>
      <c r="F57" s="1" t="s">
        <v>1490</v>
      </c>
      <c r="G57" s="1"/>
    </row>
    <row r="58" spans="1:7" x14ac:dyDescent="0.35">
      <c r="A58" s="1" t="s">
        <v>1309</v>
      </c>
      <c r="B58" s="1" t="s">
        <v>332</v>
      </c>
      <c r="C58" s="1" t="s">
        <v>79</v>
      </c>
      <c r="D58" s="2">
        <v>45438</v>
      </c>
      <c r="E58" s="1" t="s">
        <v>91</v>
      </c>
      <c r="F58" s="1" t="s">
        <v>1490</v>
      </c>
      <c r="G58" s="1"/>
    </row>
    <row r="59" spans="1:7" x14ac:dyDescent="0.35">
      <c r="A59" s="1" t="s">
        <v>1310</v>
      </c>
      <c r="B59" s="1" t="s">
        <v>608</v>
      </c>
      <c r="C59" s="1" t="s">
        <v>79</v>
      </c>
      <c r="D59" s="2">
        <v>45541</v>
      </c>
      <c r="E59" s="1" t="s">
        <v>80</v>
      </c>
      <c r="F59" s="1" t="s">
        <v>1493</v>
      </c>
      <c r="G59" s="1"/>
    </row>
    <row r="60" spans="1:7" x14ac:dyDescent="0.35">
      <c r="A60" s="1" t="s">
        <v>1311</v>
      </c>
      <c r="B60" s="1" t="s">
        <v>198</v>
      </c>
      <c r="C60" s="1" t="s">
        <v>79</v>
      </c>
      <c r="D60" s="2">
        <v>45842</v>
      </c>
      <c r="E60" s="1" t="s">
        <v>80</v>
      </c>
      <c r="F60" s="1" t="s">
        <v>1493</v>
      </c>
      <c r="G60" s="1"/>
    </row>
    <row r="61" spans="1:7" x14ac:dyDescent="0.35">
      <c r="A61" s="1" t="s">
        <v>1312</v>
      </c>
      <c r="B61" s="1" t="s">
        <v>326</v>
      </c>
      <c r="C61" s="1" t="s">
        <v>90</v>
      </c>
      <c r="D61" s="2">
        <v>45059</v>
      </c>
      <c r="E61" s="1" t="s">
        <v>87</v>
      </c>
      <c r="F61" s="1" t="s">
        <v>1492</v>
      </c>
      <c r="G61" s="1"/>
    </row>
    <row r="62" spans="1:7" x14ac:dyDescent="0.35">
      <c r="A62" s="1" t="s">
        <v>1313</v>
      </c>
      <c r="B62" s="1" t="s">
        <v>227</v>
      </c>
      <c r="C62" s="1" t="s">
        <v>79</v>
      </c>
      <c r="D62" s="2">
        <v>45816</v>
      </c>
      <c r="E62" s="1" t="s">
        <v>1496</v>
      </c>
      <c r="F62" s="1" t="s">
        <v>1491</v>
      </c>
      <c r="G62" s="1"/>
    </row>
    <row r="63" spans="1:7" x14ac:dyDescent="0.35">
      <c r="A63" s="1" t="s">
        <v>1314</v>
      </c>
      <c r="B63" s="1" t="s">
        <v>235</v>
      </c>
      <c r="C63" s="1" t="s">
        <v>90</v>
      </c>
      <c r="D63" s="2">
        <v>45467</v>
      </c>
      <c r="E63" s="1" t="s">
        <v>1496</v>
      </c>
      <c r="F63" s="1" t="s">
        <v>1491</v>
      </c>
      <c r="G63" s="1"/>
    </row>
    <row r="64" spans="1:7" x14ac:dyDescent="0.35">
      <c r="A64" s="1" t="s">
        <v>1315</v>
      </c>
      <c r="B64" s="1" t="s">
        <v>34</v>
      </c>
      <c r="C64" s="1" t="s">
        <v>90</v>
      </c>
      <c r="D64" s="2">
        <v>45789</v>
      </c>
      <c r="E64" s="1" t="s">
        <v>1496</v>
      </c>
      <c r="F64" s="1" t="s">
        <v>1491</v>
      </c>
      <c r="G64" s="1"/>
    </row>
    <row r="65" spans="1:7" x14ac:dyDescent="0.35">
      <c r="A65" s="1" t="s">
        <v>1316</v>
      </c>
      <c r="B65" s="1" t="s">
        <v>31</v>
      </c>
      <c r="C65" s="1" t="s">
        <v>90</v>
      </c>
      <c r="D65" s="2">
        <v>45275</v>
      </c>
      <c r="E65" s="1" t="s">
        <v>87</v>
      </c>
      <c r="F65" s="1" t="s">
        <v>1492</v>
      </c>
      <c r="G65" s="1"/>
    </row>
    <row r="66" spans="1:7" x14ac:dyDescent="0.35">
      <c r="A66" s="1" t="s">
        <v>1317</v>
      </c>
      <c r="B66" s="1" t="s">
        <v>163</v>
      </c>
      <c r="C66" s="1" t="s">
        <v>86</v>
      </c>
      <c r="D66" s="2">
        <v>45150</v>
      </c>
      <c r="E66" s="1" t="s">
        <v>83</v>
      </c>
      <c r="F66" s="1" t="s">
        <v>1490</v>
      </c>
      <c r="G66" s="1"/>
    </row>
    <row r="67" spans="1:7" x14ac:dyDescent="0.35">
      <c r="A67" s="1" t="s">
        <v>1318</v>
      </c>
      <c r="B67" s="1" t="s">
        <v>544</v>
      </c>
      <c r="C67" s="1" t="s">
        <v>86</v>
      </c>
      <c r="D67" s="2">
        <v>45675</v>
      </c>
      <c r="E67" s="1" t="s">
        <v>83</v>
      </c>
      <c r="F67" s="1" t="s">
        <v>1490</v>
      </c>
      <c r="G67" s="1"/>
    </row>
    <row r="68" spans="1:7" x14ac:dyDescent="0.35">
      <c r="A68" s="1" t="s">
        <v>1319</v>
      </c>
      <c r="B68" s="1" t="s">
        <v>339</v>
      </c>
      <c r="C68" s="1" t="s">
        <v>90</v>
      </c>
      <c r="D68" s="2">
        <v>45104</v>
      </c>
      <c r="E68" s="1" t="s">
        <v>91</v>
      </c>
      <c r="F68" s="1" t="s">
        <v>1490</v>
      </c>
      <c r="G68" s="1"/>
    </row>
    <row r="69" spans="1:7" x14ac:dyDescent="0.35">
      <c r="A69" s="1" t="s">
        <v>1320</v>
      </c>
      <c r="B69" s="1" t="s">
        <v>611</v>
      </c>
      <c r="C69" s="1" t="s">
        <v>79</v>
      </c>
      <c r="D69" s="2">
        <v>45252</v>
      </c>
      <c r="E69" s="1" t="s">
        <v>83</v>
      </c>
      <c r="F69" s="1" t="s">
        <v>1490</v>
      </c>
      <c r="G69" s="1"/>
    </row>
    <row r="70" spans="1:7" x14ac:dyDescent="0.35">
      <c r="A70" s="1" t="s">
        <v>1321</v>
      </c>
      <c r="B70" s="1" t="s">
        <v>549</v>
      </c>
      <c r="C70" s="1" t="s">
        <v>86</v>
      </c>
      <c r="D70" s="2">
        <v>45597</v>
      </c>
      <c r="E70" s="1" t="s">
        <v>91</v>
      </c>
      <c r="F70" s="1" t="s">
        <v>1490</v>
      </c>
      <c r="G70" s="1"/>
    </row>
    <row r="71" spans="1:7" x14ac:dyDescent="0.35">
      <c r="A71" s="1" t="s">
        <v>1322</v>
      </c>
      <c r="B71" s="1" t="s">
        <v>212</v>
      </c>
      <c r="C71" s="1" t="s">
        <v>90</v>
      </c>
      <c r="D71" s="2">
        <v>45013</v>
      </c>
      <c r="E71" s="1" t="s">
        <v>1496</v>
      </c>
      <c r="F71" s="1" t="s">
        <v>1491</v>
      </c>
      <c r="G71" s="1"/>
    </row>
    <row r="72" spans="1:7" x14ac:dyDescent="0.35">
      <c r="A72" s="1" t="s">
        <v>1323</v>
      </c>
      <c r="B72" s="1" t="s">
        <v>489</v>
      </c>
      <c r="C72" s="1" t="s">
        <v>86</v>
      </c>
      <c r="D72" s="2">
        <v>45205</v>
      </c>
      <c r="E72" s="1" t="s">
        <v>1496</v>
      </c>
      <c r="F72" s="1" t="s">
        <v>1491</v>
      </c>
      <c r="G72" s="1"/>
    </row>
    <row r="73" spans="1:7" x14ac:dyDescent="0.35">
      <c r="A73" s="1" t="s">
        <v>1324</v>
      </c>
      <c r="B73" s="1" t="s">
        <v>231</v>
      </c>
      <c r="C73" s="1" t="s">
        <v>79</v>
      </c>
      <c r="D73" s="2">
        <v>45686</v>
      </c>
      <c r="E73" s="1" t="s">
        <v>1496</v>
      </c>
      <c r="F73" s="1" t="s">
        <v>1491</v>
      </c>
      <c r="G73" s="1"/>
    </row>
    <row r="74" spans="1:7" x14ac:dyDescent="0.35">
      <c r="A74" s="1" t="s">
        <v>1325</v>
      </c>
      <c r="B74" s="1" t="s">
        <v>570</v>
      </c>
      <c r="C74" s="1" t="s">
        <v>79</v>
      </c>
      <c r="D74" s="2">
        <v>45292</v>
      </c>
      <c r="E74" s="1" t="s">
        <v>80</v>
      </c>
      <c r="F74" s="1" t="s">
        <v>1493</v>
      </c>
      <c r="G74" s="1"/>
    </row>
    <row r="75" spans="1:7" x14ac:dyDescent="0.35">
      <c r="A75" s="1" t="s">
        <v>1326</v>
      </c>
      <c r="B75" s="1" t="s">
        <v>830</v>
      </c>
      <c r="C75" s="1" t="s">
        <v>86</v>
      </c>
      <c r="D75" s="2">
        <v>45337</v>
      </c>
      <c r="E75" s="1" t="s">
        <v>80</v>
      </c>
      <c r="F75" s="1" t="s">
        <v>1493</v>
      </c>
      <c r="G75" s="1"/>
    </row>
    <row r="76" spans="1:7" x14ac:dyDescent="0.35">
      <c r="A76" s="1" t="s">
        <v>1327</v>
      </c>
      <c r="B76" s="1" t="s">
        <v>467</v>
      </c>
      <c r="C76" s="1" t="s">
        <v>79</v>
      </c>
      <c r="D76" s="2">
        <v>45830</v>
      </c>
      <c r="E76" s="1" t="s">
        <v>87</v>
      </c>
      <c r="F76" s="1" t="s">
        <v>1492</v>
      </c>
      <c r="G76" s="1"/>
    </row>
    <row r="77" spans="1:7" x14ac:dyDescent="0.35">
      <c r="A77" s="1" t="s">
        <v>1328</v>
      </c>
      <c r="B77" s="1" t="s">
        <v>794</v>
      </c>
      <c r="C77" s="1" t="s">
        <v>79</v>
      </c>
      <c r="D77" s="2">
        <v>45290</v>
      </c>
      <c r="E77" s="1" t="s">
        <v>1496</v>
      </c>
      <c r="F77" s="1" t="s">
        <v>1491</v>
      </c>
      <c r="G77" s="1"/>
    </row>
    <row r="78" spans="1:7" x14ac:dyDescent="0.35">
      <c r="A78" s="1" t="s">
        <v>1329</v>
      </c>
      <c r="B78" s="1" t="s">
        <v>638</v>
      </c>
      <c r="C78" s="1" t="s">
        <v>86</v>
      </c>
      <c r="D78" s="2">
        <v>45005</v>
      </c>
      <c r="E78" s="1" t="s">
        <v>87</v>
      </c>
      <c r="F78" s="1" t="s">
        <v>1492</v>
      </c>
      <c r="G78" s="1"/>
    </row>
    <row r="79" spans="1:7" x14ac:dyDescent="0.35">
      <c r="A79" s="1" t="s">
        <v>1330</v>
      </c>
      <c r="B79" s="1" t="s">
        <v>314</v>
      </c>
      <c r="C79" s="1" t="s">
        <v>79</v>
      </c>
      <c r="D79" s="2">
        <v>45621</v>
      </c>
      <c r="E79" s="1" t="s">
        <v>87</v>
      </c>
      <c r="F79" s="1" t="s">
        <v>1492</v>
      </c>
      <c r="G79" s="1"/>
    </row>
    <row r="80" spans="1:7" x14ac:dyDescent="0.35">
      <c r="A80" s="1" t="s">
        <v>1331</v>
      </c>
      <c r="B80" s="1" t="s">
        <v>178</v>
      </c>
      <c r="C80" s="1" t="s">
        <v>86</v>
      </c>
      <c r="D80" s="2">
        <v>45016</v>
      </c>
      <c r="E80" s="1" t="s">
        <v>91</v>
      </c>
      <c r="F80" s="1" t="s">
        <v>1490</v>
      </c>
      <c r="G80" s="1"/>
    </row>
    <row r="81" spans="1:7" x14ac:dyDescent="0.35">
      <c r="A81" s="1" t="s">
        <v>1332</v>
      </c>
      <c r="B81" s="1" t="s">
        <v>1260</v>
      </c>
      <c r="C81" s="1" t="s">
        <v>86</v>
      </c>
      <c r="D81" s="2">
        <v>45271</v>
      </c>
      <c r="E81" s="1" t="s">
        <v>87</v>
      </c>
      <c r="F81" s="1" t="s">
        <v>1492</v>
      </c>
      <c r="G81" s="1"/>
    </row>
    <row r="82" spans="1:7" x14ac:dyDescent="0.35">
      <c r="A82" s="1" t="s">
        <v>1333</v>
      </c>
      <c r="B82" s="1" t="s">
        <v>443</v>
      </c>
      <c r="C82" s="1" t="s">
        <v>86</v>
      </c>
      <c r="D82" s="2">
        <v>45426</v>
      </c>
      <c r="E82" s="1" t="s">
        <v>80</v>
      </c>
      <c r="F82" s="1" t="s">
        <v>1493</v>
      </c>
      <c r="G82" s="1"/>
    </row>
    <row r="83" spans="1:7" x14ac:dyDescent="0.35">
      <c r="A83" s="1" t="s">
        <v>1334</v>
      </c>
      <c r="B83" s="1" t="s">
        <v>873</v>
      </c>
      <c r="C83" s="1" t="s">
        <v>86</v>
      </c>
      <c r="D83" s="2">
        <v>45314</v>
      </c>
      <c r="E83" s="1" t="s">
        <v>83</v>
      </c>
      <c r="F83" s="1" t="s">
        <v>1490</v>
      </c>
      <c r="G83" s="1"/>
    </row>
    <row r="84" spans="1:7" x14ac:dyDescent="0.35">
      <c r="A84" s="1" t="s">
        <v>1335</v>
      </c>
      <c r="B84" s="1" t="s">
        <v>605</v>
      </c>
      <c r="C84" s="1" t="s">
        <v>86</v>
      </c>
      <c r="D84" s="2">
        <v>45699</v>
      </c>
      <c r="E84" s="1" t="s">
        <v>87</v>
      </c>
      <c r="F84" s="1" t="s">
        <v>1492</v>
      </c>
      <c r="G84" s="1"/>
    </row>
    <row r="85" spans="1:7" x14ac:dyDescent="0.35">
      <c r="A85" s="1" t="s">
        <v>1336</v>
      </c>
      <c r="B85" s="1" t="s">
        <v>394</v>
      </c>
      <c r="C85" s="1" t="s">
        <v>86</v>
      </c>
      <c r="D85" s="2">
        <v>45786</v>
      </c>
      <c r="E85" s="1" t="s">
        <v>1496</v>
      </c>
      <c r="F85" s="1" t="s">
        <v>1491</v>
      </c>
      <c r="G85" s="1"/>
    </row>
    <row r="86" spans="1:7" x14ac:dyDescent="0.35">
      <c r="A86" s="1" t="s">
        <v>1337</v>
      </c>
      <c r="B86" s="1" t="s">
        <v>204</v>
      </c>
      <c r="C86" s="1" t="s">
        <v>86</v>
      </c>
      <c r="D86" s="2">
        <v>45372</v>
      </c>
      <c r="E86" s="1" t="s">
        <v>83</v>
      </c>
      <c r="F86" s="1" t="s">
        <v>1490</v>
      </c>
      <c r="G86" s="1"/>
    </row>
    <row r="87" spans="1:7" x14ac:dyDescent="0.35">
      <c r="A87" s="1" t="s">
        <v>1338</v>
      </c>
      <c r="B87" s="1" t="s">
        <v>384</v>
      </c>
      <c r="C87" s="1" t="s">
        <v>86</v>
      </c>
      <c r="D87" s="2">
        <v>44974</v>
      </c>
      <c r="E87" s="1" t="s">
        <v>83</v>
      </c>
      <c r="F87" s="1" t="s">
        <v>1490</v>
      </c>
      <c r="G87" s="1"/>
    </row>
    <row r="88" spans="1:7" x14ac:dyDescent="0.35">
      <c r="A88" s="1" t="s">
        <v>1339</v>
      </c>
      <c r="B88" s="1" t="s">
        <v>306</v>
      </c>
      <c r="C88" s="1" t="s">
        <v>86</v>
      </c>
      <c r="D88" s="2">
        <v>45010</v>
      </c>
      <c r="E88" s="1" t="s">
        <v>80</v>
      </c>
      <c r="F88" s="1" t="s">
        <v>1493</v>
      </c>
      <c r="G88" s="1"/>
    </row>
    <row r="89" spans="1:7" x14ac:dyDescent="0.35">
      <c r="A89" s="1" t="s">
        <v>1340</v>
      </c>
      <c r="B89" s="1" t="s">
        <v>206</v>
      </c>
      <c r="C89" s="1" t="s">
        <v>86</v>
      </c>
      <c r="D89" s="2">
        <v>45750</v>
      </c>
      <c r="E89" s="1" t="s">
        <v>80</v>
      </c>
      <c r="F89" s="1" t="s">
        <v>1493</v>
      </c>
      <c r="G89" s="1"/>
    </row>
    <row r="90" spans="1:7" x14ac:dyDescent="0.35">
      <c r="A90" s="1" t="s">
        <v>1341</v>
      </c>
      <c r="B90" s="1" t="s">
        <v>292</v>
      </c>
      <c r="C90" s="1" t="s">
        <v>86</v>
      </c>
      <c r="D90" s="2">
        <v>45194</v>
      </c>
      <c r="E90" s="1" t="s">
        <v>91</v>
      </c>
      <c r="F90" s="1" t="s">
        <v>1490</v>
      </c>
      <c r="G90" s="1"/>
    </row>
    <row r="91" spans="1:7" x14ac:dyDescent="0.35">
      <c r="A91" s="1" t="s">
        <v>1342</v>
      </c>
      <c r="B91" s="1" t="s">
        <v>370</v>
      </c>
      <c r="C91" s="1" t="s">
        <v>86</v>
      </c>
      <c r="D91" s="2">
        <v>45322</v>
      </c>
      <c r="E91" s="1" t="s">
        <v>83</v>
      </c>
      <c r="F91" s="1" t="s">
        <v>1490</v>
      </c>
      <c r="G91" s="1"/>
    </row>
    <row r="92" spans="1:7" x14ac:dyDescent="0.35">
      <c r="A92" s="1" t="s">
        <v>1343</v>
      </c>
      <c r="B92" s="1" t="s">
        <v>191</v>
      </c>
      <c r="C92" s="1" t="s">
        <v>90</v>
      </c>
      <c r="D92" s="2">
        <v>45743</v>
      </c>
      <c r="E92" s="1" t="s">
        <v>87</v>
      </c>
      <c r="F92" s="1" t="s">
        <v>1492</v>
      </c>
      <c r="G92" s="1"/>
    </row>
    <row r="93" spans="1:7" x14ac:dyDescent="0.35">
      <c r="A93" s="1" t="s">
        <v>1344</v>
      </c>
      <c r="B93" s="1" t="s">
        <v>218</v>
      </c>
      <c r="C93" s="1" t="s">
        <v>86</v>
      </c>
      <c r="D93" s="2">
        <v>45740</v>
      </c>
      <c r="E93" s="1" t="s">
        <v>1496</v>
      </c>
      <c r="F93" s="1" t="s">
        <v>1491</v>
      </c>
      <c r="G93" s="1"/>
    </row>
    <row r="94" spans="1:7" x14ac:dyDescent="0.35">
      <c r="A94" s="1" t="s">
        <v>1345</v>
      </c>
      <c r="B94" s="1" t="s">
        <v>732</v>
      </c>
      <c r="C94" s="1" t="s">
        <v>86</v>
      </c>
      <c r="D94" s="2">
        <v>45660</v>
      </c>
      <c r="E94" s="1" t="s">
        <v>80</v>
      </c>
      <c r="F94" s="1" t="s">
        <v>1493</v>
      </c>
      <c r="G94" s="1"/>
    </row>
    <row r="95" spans="1:7" x14ac:dyDescent="0.35">
      <c r="A95" s="1" t="s">
        <v>1346</v>
      </c>
      <c r="B95" s="1" t="s">
        <v>54</v>
      </c>
      <c r="C95" s="1" t="s">
        <v>79</v>
      </c>
      <c r="D95" s="2">
        <v>45721</v>
      </c>
      <c r="E95" s="1" t="s">
        <v>91</v>
      </c>
      <c r="F95" s="1" t="s">
        <v>1490</v>
      </c>
      <c r="G95" s="1"/>
    </row>
    <row r="96" spans="1:7" x14ac:dyDescent="0.35">
      <c r="A96" s="1" t="s">
        <v>1347</v>
      </c>
      <c r="B96" s="1" t="s">
        <v>20</v>
      </c>
      <c r="C96" s="1" t="s">
        <v>79</v>
      </c>
      <c r="D96" s="2">
        <v>45503</v>
      </c>
      <c r="E96" s="1" t="s">
        <v>91</v>
      </c>
      <c r="F96" s="1" t="s">
        <v>1490</v>
      </c>
      <c r="G96" s="1"/>
    </row>
    <row r="97" spans="1:7" x14ac:dyDescent="0.35">
      <c r="A97" s="1" t="s">
        <v>1348</v>
      </c>
      <c r="B97" s="1" t="s">
        <v>518</v>
      </c>
      <c r="C97" s="1" t="s">
        <v>86</v>
      </c>
      <c r="D97" s="2">
        <v>45399</v>
      </c>
      <c r="E97" s="1" t="s">
        <v>87</v>
      </c>
      <c r="F97" s="1" t="s">
        <v>1492</v>
      </c>
      <c r="G97" s="1"/>
    </row>
    <row r="98" spans="1:7" x14ac:dyDescent="0.35">
      <c r="A98" s="1" t="s">
        <v>1349</v>
      </c>
      <c r="B98" s="1" t="s">
        <v>360</v>
      </c>
      <c r="C98" s="1" t="s">
        <v>79</v>
      </c>
      <c r="D98" s="2">
        <v>45051</v>
      </c>
      <c r="E98" s="1" t="s">
        <v>80</v>
      </c>
      <c r="F98" s="1" t="s">
        <v>1493</v>
      </c>
      <c r="G98" s="1"/>
    </row>
    <row r="99" spans="1:7" x14ac:dyDescent="0.35">
      <c r="A99" s="1" t="s">
        <v>1350</v>
      </c>
      <c r="B99" s="1" t="s">
        <v>582</v>
      </c>
      <c r="C99" s="1" t="s">
        <v>79</v>
      </c>
      <c r="D99" s="2">
        <v>45516</v>
      </c>
      <c r="E99" s="1" t="s">
        <v>83</v>
      </c>
      <c r="F99" s="1" t="s">
        <v>1490</v>
      </c>
      <c r="G99" s="1"/>
    </row>
    <row r="100" spans="1:7" x14ac:dyDescent="0.35">
      <c r="A100" s="1" t="s">
        <v>1351</v>
      </c>
      <c r="B100" s="1" t="s">
        <v>511</v>
      </c>
      <c r="C100" s="1" t="s">
        <v>86</v>
      </c>
      <c r="D100" s="2">
        <v>45739</v>
      </c>
      <c r="E100" s="1" t="s">
        <v>91</v>
      </c>
      <c r="F100" s="1" t="s">
        <v>1490</v>
      </c>
      <c r="G100" s="1"/>
    </row>
    <row r="101" spans="1:7" x14ac:dyDescent="0.35">
      <c r="A101" s="1" t="s">
        <v>1352</v>
      </c>
      <c r="B101" s="1" t="s">
        <v>413</v>
      </c>
      <c r="C101" s="1" t="s">
        <v>90</v>
      </c>
      <c r="D101" s="2">
        <v>45911</v>
      </c>
      <c r="E101" s="1" t="s">
        <v>83</v>
      </c>
      <c r="F101" s="1" t="s">
        <v>1490</v>
      </c>
      <c r="G101" s="1"/>
    </row>
    <row r="102" spans="1:7" x14ac:dyDescent="0.35">
      <c r="A102" s="1" t="s">
        <v>1353</v>
      </c>
      <c r="B102" s="1" t="s">
        <v>572</v>
      </c>
      <c r="C102" s="1" t="s">
        <v>86</v>
      </c>
      <c r="D102" s="2">
        <v>45299</v>
      </c>
      <c r="E102" s="1" t="s">
        <v>1496</v>
      </c>
      <c r="F102" s="1" t="s">
        <v>1491</v>
      </c>
      <c r="G102" s="1"/>
    </row>
    <row r="103" spans="1:7" x14ac:dyDescent="0.35">
      <c r="A103" s="1" t="s">
        <v>1354</v>
      </c>
      <c r="B103" s="1" t="s">
        <v>460</v>
      </c>
      <c r="C103" s="1" t="s">
        <v>79</v>
      </c>
      <c r="D103" s="2">
        <v>45478</v>
      </c>
      <c r="E103" s="1" t="s">
        <v>83</v>
      </c>
      <c r="F103" s="1" t="s">
        <v>1490</v>
      </c>
      <c r="G103" s="1"/>
    </row>
    <row r="104" spans="1:7" x14ac:dyDescent="0.35">
      <c r="A104" s="1" t="s">
        <v>1355</v>
      </c>
      <c r="B104" s="1" t="s">
        <v>694</v>
      </c>
      <c r="C104" s="1" t="s">
        <v>79</v>
      </c>
      <c r="D104" s="2">
        <v>45715</v>
      </c>
      <c r="E104" s="1" t="s">
        <v>1496</v>
      </c>
      <c r="F104" s="1" t="s">
        <v>1491</v>
      </c>
      <c r="G104" s="1"/>
    </row>
    <row r="105" spans="1:7" x14ac:dyDescent="0.35">
      <c r="A105" s="1" t="s">
        <v>1356</v>
      </c>
      <c r="B105" s="1" t="s">
        <v>170</v>
      </c>
      <c r="C105" s="1" t="s">
        <v>79</v>
      </c>
      <c r="D105" s="2">
        <v>45717</v>
      </c>
      <c r="E105" s="1" t="s">
        <v>91</v>
      </c>
      <c r="F105" s="1" t="s">
        <v>1490</v>
      </c>
      <c r="G105" s="1"/>
    </row>
    <row r="106" spans="1:7" x14ac:dyDescent="0.35">
      <c r="A106" s="1" t="s">
        <v>1357</v>
      </c>
      <c r="B106" s="1" t="s">
        <v>294</v>
      </c>
      <c r="C106" s="1" t="s">
        <v>79</v>
      </c>
      <c r="D106" s="2">
        <v>45144</v>
      </c>
      <c r="E106" s="1" t="s">
        <v>83</v>
      </c>
      <c r="F106" s="1" t="s">
        <v>1490</v>
      </c>
      <c r="G106" s="1"/>
    </row>
    <row r="107" spans="1:7" x14ac:dyDescent="0.35">
      <c r="A107" s="1" t="s">
        <v>1358</v>
      </c>
      <c r="B107" s="1" t="s">
        <v>266</v>
      </c>
      <c r="C107" s="1" t="s">
        <v>79</v>
      </c>
      <c r="D107" s="2">
        <v>45120</v>
      </c>
      <c r="E107" s="1" t="s">
        <v>91</v>
      </c>
      <c r="F107" s="1" t="s">
        <v>1490</v>
      </c>
      <c r="G107" s="1"/>
    </row>
    <row r="108" spans="1:7" x14ac:dyDescent="0.35">
      <c r="A108" s="1" t="s">
        <v>1359</v>
      </c>
      <c r="B108" s="1" t="s">
        <v>28</v>
      </c>
      <c r="C108" s="1" t="s">
        <v>90</v>
      </c>
      <c r="D108" s="2">
        <v>45540</v>
      </c>
      <c r="E108" s="1" t="s">
        <v>83</v>
      </c>
      <c r="F108" s="1" t="s">
        <v>1490</v>
      </c>
      <c r="G108" s="1"/>
    </row>
    <row r="109" spans="1:7" x14ac:dyDescent="0.35">
      <c r="A109" s="1" t="s">
        <v>1360</v>
      </c>
      <c r="B109" s="1" t="s">
        <v>356</v>
      </c>
      <c r="C109" s="1" t="s">
        <v>79</v>
      </c>
      <c r="D109" s="2">
        <v>45086</v>
      </c>
      <c r="E109" s="1" t="s">
        <v>1496</v>
      </c>
      <c r="F109" s="1" t="s">
        <v>1491</v>
      </c>
      <c r="G109" s="1"/>
    </row>
    <row r="110" spans="1:7" x14ac:dyDescent="0.35">
      <c r="A110" s="1" t="s">
        <v>1361</v>
      </c>
      <c r="B110" s="1" t="s">
        <v>367</v>
      </c>
      <c r="C110" s="1" t="s">
        <v>79</v>
      </c>
      <c r="D110" s="2">
        <v>45609</v>
      </c>
      <c r="E110" s="1" t="s">
        <v>87</v>
      </c>
      <c r="F110" s="1" t="s">
        <v>1492</v>
      </c>
      <c r="G110" s="1"/>
    </row>
    <row r="111" spans="1:7" x14ac:dyDescent="0.35">
      <c r="A111" s="1" t="s">
        <v>1362</v>
      </c>
      <c r="B111" s="1" t="s">
        <v>445</v>
      </c>
      <c r="C111" s="1" t="s">
        <v>90</v>
      </c>
      <c r="D111" s="2">
        <v>45208</v>
      </c>
      <c r="E111" s="1" t="s">
        <v>80</v>
      </c>
      <c r="F111" s="1" t="s">
        <v>1493</v>
      </c>
      <c r="G111" s="1"/>
    </row>
    <row r="112" spans="1:7" x14ac:dyDescent="0.35">
      <c r="A112" s="1" t="s">
        <v>1363</v>
      </c>
      <c r="B112" s="1" t="s">
        <v>617</v>
      </c>
      <c r="C112" s="1" t="s">
        <v>79</v>
      </c>
      <c r="D112" s="2">
        <v>45843</v>
      </c>
      <c r="E112" s="1" t="s">
        <v>1496</v>
      </c>
      <c r="F112" s="1" t="s">
        <v>1491</v>
      </c>
      <c r="G112" s="1"/>
    </row>
    <row r="113" spans="1:7" x14ac:dyDescent="0.35">
      <c r="A113" s="1" t="s">
        <v>1364</v>
      </c>
      <c r="B113" s="1" t="s">
        <v>1365</v>
      </c>
      <c r="C113" s="1" t="s">
        <v>90</v>
      </c>
      <c r="D113" s="2">
        <v>45083</v>
      </c>
      <c r="E113" s="1" t="s">
        <v>87</v>
      </c>
      <c r="F113" s="1" t="s">
        <v>1492</v>
      </c>
      <c r="G113" s="1"/>
    </row>
    <row r="114" spans="1:7" x14ac:dyDescent="0.35">
      <c r="A114" s="1" t="s">
        <v>1366</v>
      </c>
      <c r="B114" s="1" t="s">
        <v>344</v>
      </c>
      <c r="C114" s="1" t="s">
        <v>79</v>
      </c>
      <c r="D114" s="2">
        <v>45094</v>
      </c>
      <c r="E114" s="1" t="s">
        <v>87</v>
      </c>
      <c r="F114" s="1" t="s">
        <v>1492</v>
      </c>
      <c r="G114" s="1"/>
    </row>
    <row r="115" spans="1:7" x14ac:dyDescent="0.35">
      <c r="A115" s="1" t="s">
        <v>1367</v>
      </c>
      <c r="B115" s="1" t="s">
        <v>849</v>
      </c>
      <c r="C115" s="1" t="s">
        <v>79</v>
      </c>
      <c r="D115" s="2">
        <v>45224</v>
      </c>
      <c r="E115" s="1" t="s">
        <v>87</v>
      </c>
      <c r="F115" s="1" t="s">
        <v>1492</v>
      </c>
      <c r="G115" s="1"/>
    </row>
    <row r="116" spans="1:7" x14ac:dyDescent="0.35">
      <c r="A116" s="1" t="s">
        <v>1368</v>
      </c>
      <c r="B116" s="1" t="s">
        <v>388</v>
      </c>
      <c r="C116" s="1" t="s">
        <v>86</v>
      </c>
      <c r="D116" s="2">
        <v>44998</v>
      </c>
      <c r="E116" s="1" t="s">
        <v>80</v>
      </c>
      <c r="F116" s="1" t="s">
        <v>1493</v>
      </c>
      <c r="G116" s="1"/>
    </row>
    <row r="117" spans="1:7" x14ac:dyDescent="0.35">
      <c r="A117" s="1" t="s">
        <v>1369</v>
      </c>
      <c r="B117" s="1" t="s">
        <v>396</v>
      </c>
      <c r="C117" s="1" t="s">
        <v>86</v>
      </c>
      <c r="D117" s="2">
        <v>45589</v>
      </c>
      <c r="E117" s="1" t="s">
        <v>91</v>
      </c>
      <c r="F117" s="1" t="s">
        <v>1490</v>
      </c>
      <c r="G117" s="1"/>
    </row>
    <row r="118" spans="1:7" x14ac:dyDescent="0.35">
      <c r="A118" s="1" t="s">
        <v>1370</v>
      </c>
      <c r="B118" s="1" t="s">
        <v>254</v>
      </c>
      <c r="C118" s="1" t="s">
        <v>90</v>
      </c>
      <c r="D118" s="2">
        <v>45274</v>
      </c>
      <c r="E118" s="1" t="s">
        <v>91</v>
      </c>
      <c r="F118" s="1" t="s">
        <v>1490</v>
      </c>
      <c r="G118" s="1"/>
    </row>
    <row r="119" spans="1:7" x14ac:dyDescent="0.35">
      <c r="A119" s="1" t="s">
        <v>1371</v>
      </c>
      <c r="B119" s="1" t="s">
        <v>390</v>
      </c>
      <c r="C119" s="1" t="s">
        <v>79</v>
      </c>
      <c r="D119" s="2">
        <v>44949</v>
      </c>
      <c r="E119" s="1" t="s">
        <v>80</v>
      </c>
      <c r="F119" s="1" t="s">
        <v>1493</v>
      </c>
      <c r="G119" s="1"/>
    </row>
    <row r="120" spans="1:7" x14ac:dyDescent="0.35">
      <c r="A120" s="1" t="s">
        <v>1372</v>
      </c>
      <c r="B120" s="1" t="s">
        <v>463</v>
      </c>
      <c r="C120" s="1" t="s">
        <v>86</v>
      </c>
      <c r="D120" s="2">
        <v>45261</v>
      </c>
      <c r="E120" s="1" t="s">
        <v>83</v>
      </c>
      <c r="F120" s="1" t="s">
        <v>1490</v>
      </c>
      <c r="G120" s="1"/>
    </row>
    <row r="121" spans="1:7" x14ac:dyDescent="0.35">
      <c r="A121" s="1" t="s">
        <v>1373</v>
      </c>
      <c r="B121" s="1" t="s">
        <v>507</v>
      </c>
      <c r="C121" s="1" t="s">
        <v>90</v>
      </c>
      <c r="D121" s="2">
        <v>45805</v>
      </c>
      <c r="E121" s="1" t="s">
        <v>83</v>
      </c>
      <c r="F121" s="1" t="s">
        <v>1490</v>
      </c>
      <c r="G121" s="1"/>
    </row>
    <row r="122" spans="1:7" x14ac:dyDescent="0.35">
      <c r="A122" s="1" t="s">
        <v>1374</v>
      </c>
      <c r="B122" s="1" t="s">
        <v>432</v>
      </c>
      <c r="C122" s="1" t="s">
        <v>86</v>
      </c>
      <c r="D122" s="2">
        <v>45615</v>
      </c>
      <c r="E122" s="1" t="s">
        <v>91</v>
      </c>
      <c r="F122" s="1" t="s">
        <v>1490</v>
      </c>
      <c r="G122" s="1"/>
    </row>
    <row r="123" spans="1:7" x14ac:dyDescent="0.35">
      <c r="A123" s="1" t="s">
        <v>1375</v>
      </c>
      <c r="B123" s="1" t="s">
        <v>630</v>
      </c>
      <c r="C123" s="1" t="s">
        <v>79</v>
      </c>
      <c r="D123" s="2">
        <v>45672</v>
      </c>
      <c r="E123" s="1" t="s">
        <v>83</v>
      </c>
      <c r="F123" s="1" t="s">
        <v>1490</v>
      </c>
      <c r="G123" s="1"/>
    </row>
    <row r="124" spans="1:7" x14ac:dyDescent="0.35">
      <c r="A124" s="1" t="s">
        <v>1376</v>
      </c>
      <c r="B124" s="1" t="s">
        <v>223</v>
      </c>
      <c r="C124" s="1" t="s">
        <v>90</v>
      </c>
      <c r="D124" s="2">
        <v>44981</v>
      </c>
      <c r="E124" s="1" t="s">
        <v>87</v>
      </c>
      <c r="F124" s="1" t="s">
        <v>1492</v>
      </c>
      <c r="G124" s="1"/>
    </row>
    <row r="125" spans="1:7" x14ac:dyDescent="0.35">
      <c r="A125" s="1" t="s">
        <v>1377</v>
      </c>
      <c r="B125" s="1" t="s">
        <v>279</v>
      </c>
      <c r="C125" s="1" t="s">
        <v>79</v>
      </c>
      <c r="D125" s="2">
        <v>45465</v>
      </c>
      <c r="E125" s="1" t="s">
        <v>80</v>
      </c>
      <c r="F125" s="1" t="s">
        <v>1493</v>
      </c>
      <c r="G125" s="1"/>
    </row>
    <row r="126" spans="1:7" x14ac:dyDescent="0.35">
      <c r="A126" s="1" t="s">
        <v>1378</v>
      </c>
      <c r="B126" s="1" t="s">
        <v>273</v>
      </c>
      <c r="C126" s="1" t="s">
        <v>86</v>
      </c>
      <c r="D126" s="2">
        <v>45013</v>
      </c>
      <c r="E126" s="1" t="s">
        <v>80</v>
      </c>
      <c r="F126" s="1" t="s">
        <v>1493</v>
      </c>
      <c r="G126" s="1"/>
    </row>
    <row r="127" spans="1:7" x14ac:dyDescent="0.35">
      <c r="A127" s="1" t="s">
        <v>1379</v>
      </c>
      <c r="B127" s="1" t="s">
        <v>814</v>
      </c>
      <c r="C127" s="1" t="s">
        <v>86</v>
      </c>
      <c r="D127" s="2">
        <v>45754</v>
      </c>
      <c r="E127" s="1" t="s">
        <v>80</v>
      </c>
      <c r="F127" s="1" t="s">
        <v>1493</v>
      </c>
      <c r="G127" s="1"/>
    </row>
    <row r="128" spans="1:7" x14ac:dyDescent="0.35">
      <c r="A128" s="1" t="s">
        <v>1380</v>
      </c>
      <c r="B128" s="1" t="s">
        <v>624</v>
      </c>
      <c r="C128" s="1" t="s">
        <v>86</v>
      </c>
      <c r="D128" s="2">
        <v>45528</v>
      </c>
      <c r="E128" s="1" t="s">
        <v>87</v>
      </c>
      <c r="F128" s="1" t="s">
        <v>1492</v>
      </c>
      <c r="G128" s="1"/>
    </row>
    <row r="129" spans="1:7" x14ac:dyDescent="0.35">
      <c r="A129" s="1" t="s">
        <v>1381</v>
      </c>
      <c r="B129" s="1" t="s">
        <v>41</v>
      </c>
      <c r="C129" s="1" t="s">
        <v>90</v>
      </c>
      <c r="D129" s="2">
        <v>45912</v>
      </c>
      <c r="E129" s="1" t="s">
        <v>91</v>
      </c>
      <c r="F129" s="1" t="s">
        <v>1490</v>
      </c>
      <c r="G129" s="1"/>
    </row>
    <row r="130" spans="1:7" x14ac:dyDescent="0.35">
      <c r="A130" s="1" t="s">
        <v>1382</v>
      </c>
      <c r="B130" s="1" t="s">
        <v>208</v>
      </c>
      <c r="C130" s="1" t="s">
        <v>86</v>
      </c>
      <c r="D130" s="2">
        <v>45365</v>
      </c>
      <c r="E130" s="1" t="s">
        <v>91</v>
      </c>
      <c r="F130" s="1" t="s">
        <v>1490</v>
      </c>
      <c r="G130" s="1"/>
    </row>
    <row r="131" spans="1:7" x14ac:dyDescent="0.35">
      <c r="A131" s="1" t="s">
        <v>1383</v>
      </c>
      <c r="B131" s="1" t="s">
        <v>363</v>
      </c>
      <c r="C131" s="1" t="s">
        <v>79</v>
      </c>
      <c r="D131" s="2">
        <v>45636</v>
      </c>
      <c r="E131" s="1" t="s">
        <v>87</v>
      </c>
      <c r="F131" s="1" t="s">
        <v>1492</v>
      </c>
      <c r="G131" s="1"/>
    </row>
    <row r="132" spans="1:7" x14ac:dyDescent="0.35">
      <c r="A132" s="1" t="s">
        <v>1384</v>
      </c>
      <c r="B132" s="1" t="s">
        <v>425</v>
      </c>
      <c r="C132" s="1" t="s">
        <v>79</v>
      </c>
      <c r="D132" s="2">
        <v>45412</v>
      </c>
      <c r="E132" s="1" t="s">
        <v>91</v>
      </c>
      <c r="F132" s="1" t="s">
        <v>1490</v>
      </c>
      <c r="G132" s="1"/>
    </row>
    <row r="133" spans="1:7" x14ac:dyDescent="0.35">
      <c r="A133" s="1" t="s">
        <v>1385</v>
      </c>
      <c r="B133" s="1" t="s">
        <v>597</v>
      </c>
      <c r="C133" s="1" t="s">
        <v>86</v>
      </c>
      <c r="D133" s="2">
        <v>44967</v>
      </c>
      <c r="E133" s="1" t="s">
        <v>87</v>
      </c>
      <c r="F133" s="1" t="s">
        <v>1492</v>
      </c>
      <c r="G133" s="1"/>
    </row>
    <row r="134" spans="1:7" x14ac:dyDescent="0.35">
      <c r="A134" s="1" t="s">
        <v>1386</v>
      </c>
      <c r="B134" s="1" t="s">
        <v>653</v>
      </c>
      <c r="C134" s="1" t="s">
        <v>79</v>
      </c>
      <c r="D134" s="2">
        <v>45381</v>
      </c>
      <c r="E134" s="1" t="s">
        <v>1496</v>
      </c>
      <c r="F134" s="1" t="s">
        <v>1491</v>
      </c>
      <c r="G134" s="1"/>
    </row>
    <row r="135" spans="1:7" x14ac:dyDescent="0.35">
      <c r="A135" s="1" t="s">
        <v>1387</v>
      </c>
      <c r="B135" s="1" t="s">
        <v>380</v>
      </c>
      <c r="C135" s="1" t="s">
        <v>86</v>
      </c>
      <c r="D135" s="2">
        <v>45793</v>
      </c>
      <c r="E135" s="1" t="s">
        <v>80</v>
      </c>
      <c r="F135" s="1" t="s">
        <v>1493</v>
      </c>
      <c r="G135" s="1"/>
    </row>
    <row r="136" spans="1:7" x14ac:dyDescent="0.35">
      <c r="A136" s="1" t="s">
        <v>1388</v>
      </c>
      <c r="B136" s="1" t="s">
        <v>165</v>
      </c>
      <c r="C136" s="1" t="s">
        <v>86</v>
      </c>
      <c r="D136" s="2">
        <v>45244</v>
      </c>
      <c r="E136" s="1" t="s">
        <v>83</v>
      </c>
      <c r="F136" s="1" t="s">
        <v>1490</v>
      </c>
      <c r="G136" s="1"/>
    </row>
    <row r="137" spans="1:7" x14ac:dyDescent="0.35">
      <c r="A137" s="1" t="s">
        <v>1389</v>
      </c>
      <c r="B137" s="1" t="s">
        <v>328</v>
      </c>
      <c r="C137" s="1" t="s">
        <v>86</v>
      </c>
      <c r="D137" s="2">
        <v>45844</v>
      </c>
      <c r="E137" s="1" t="s">
        <v>80</v>
      </c>
      <c r="F137" s="1" t="s">
        <v>1493</v>
      </c>
      <c r="G137" s="1"/>
    </row>
    <row r="138" spans="1:7" x14ac:dyDescent="0.35">
      <c r="A138" s="1" t="s">
        <v>1390</v>
      </c>
      <c r="B138" s="1" t="s">
        <v>284</v>
      </c>
      <c r="C138" s="1" t="s">
        <v>90</v>
      </c>
      <c r="D138" s="2">
        <v>45487</v>
      </c>
      <c r="E138" s="1" t="s">
        <v>80</v>
      </c>
      <c r="F138" s="1" t="s">
        <v>1493</v>
      </c>
      <c r="G138" s="1"/>
    </row>
    <row r="139" spans="1:7" x14ac:dyDescent="0.35">
      <c r="A139" s="1" t="s">
        <v>1391</v>
      </c>
      <c r="B139" s="1" t="s">
        <v>564</v>
      </c>
      <c r="C139" s="1" t="s">
        <v>90</v>
      </c>
      <c r="D139" s="2">
        <v>45261</v>
      </c>
      <c r="E139" s="1" t="s">
        <v>1496</v>
      </c>
      <c r="F139" s="1" t="s">
        <v>1491</v>
      </c>
      <c r="G139" s="1"/>
    </row>
    <row r="140" spans="1:7" x14ac:dyDescent="0.35">
      <c r="A140" s="1" t="s">
        <v>1392</v>
      </c>
      <c r="B140" s="1" t="s">
        <v>847</v>
      </c>
      <c r="C140" s="1" t="s">
        <v>90</v>
      </c>
      <c r="D140" s="2">
        <v>44987</v>
      </c>
      <c r="E140" s="1" t="s">
        <v>1496</v>
      </c>
      <c r="F140" s="1" t="s">
        <v>1491</v>
      </c>
      <c r="G140" s="1"/>
    </row>
    <row r="141" spans="1:7" x14ac:dyDescent="0.35">
      <c r="A141" s="1" t="s">
        <v>1393</v>
      </c>
      <c r="B141" s="1" t="s">
        <v>275</v>
      </c>
      <c r="C141" s="1" t="s">
        <v>86</v>
      </c>
      <c r="D141" s="2">
        <v>45527</v>
      </c>
      <c r="E141" s="1" t="s">
        <v>87</v>
      </c>
      <c r="F141" s="1" t="s">
        <v>1492</v>
      </c>
      <c r="G141" s="1"/>
    </row>
    <row r="142" spans="1:7" x14ac:dyDescent="0.35">
      <c r="A142" s="1" t="s">
        <v>1394</v>
      </c>
      <c r="B142" s="1" t="s">
        <v>334</v>
      </c>
      <c r="C142" s="1" t="s">
        <v>90</v>
      </c>
      <c r="D142" s="2">
        <v>45305</v>
      </c>
      <c r="E142" s="1" t="s">
        <v>91</v>
      </c>
      <c r="F142" s="1" t="s">
        <v>1490</v>
      </c>
      <c r="G142" s="1"/>
    </row>
    <row r="143" spans="1:7" x14ac:dyDescent="0.35">
      <c r="A143" s="1" t="s">
        <v>1395</v>
      </c>
      <c r="B143" s="1" t="s">
        <v>330</v>
      </c>
      <c r="C143" s="1" t="s">
        <v>79</v>
      </c>
      <c r="D143" s="2">
        <v>45499</v>
      </c>
      <c r="E143" s="1" t="s">
        <v>83</v>
      </c>
      <c r="F143" s="1" t="s">
        <v>1490</v>
      </c>
      <c r="G143" s="1"/>
    </row>
    <row r="144" spans="1:7" x14ac:dyDescent="0.35">
      <c r="A144" s="1" t="s">
        <v>1396</v>
      </c>
      <c r="B144" s="1" t="s">
        <v>479</v>
      </c>
      <c r="C144" s="1" t="s">
        <v>90</v>
      </c>
      <c r="D144" s="2">
        <v>45611</v>
      </c>
      <c r="E144" s="1" t="s">
        <v>80</v>
      </c>
      <c r="F144" s="1" t="s">
        <v>1493</v>
      </c>
      <c r="G144" s="1"/>
    </row>
    <row r="145" spans="1:7" x14ac:dyDescent="0.35">
      <c r="A145" s="1" t="s">
        <v>1397</v>
      </c>
      <c r="B145" s="1" t="s">
        <v>374</v>
      </c>
      <c r="C145" s="1" t="s">
        <v>79</v>
      </c>
      <c r="D145" s="2">
        <v>45528</v>
      </c>
      <c r="E145" s="1" t="s">
        <v>91</v>
      </c>
      <c r="F145" s="1" t="s">
        <v>1490</v>
      </c>
      <c r="G145" s="1"/>
    </row>
    <row r="146" spans="1:7" x14ac:dyDescent="0.35">
      <c r="A146" s="1" t="s">
        <v>1398</v>
      </c>
      <c r="B146" s="1" t="s">
        <v>257</v>
      </c>
      <c r="C146" s="1" t="s">
        <v>90</v>
      </c>
      <c r="D146" s="2">
        <v>45867</v>
      </c>
      <c r="E146" s="1" t="s">
        <v>87</v>
      </c>
      <c r="F146" s="1" t="s">
        <v>1492</v>
      </c>
      <c r="G146" s="1"/>
    </row>
    <row r="147" spans="1:7" x14ac:dyDescent="0.35">
      <c r="A147" s="1" t="s">
        <v>1399</v>
      </c>
      <c r="B147" s="1" t="s">
        <v>576</v>
      </c>
      <c r="C147" s="1" t="s">
        <v>79</v>
      </c>
      <c r="D147" s="2">
        <v>45235</v>
      </c>
      <c r="E147" s="1" t="s">
        <v>91</v>
      </c>
      <c r="F147" s="1" t="s">
        <v>1490</v>
      </c>
      <c r="G147" s="1"/>
    </row>
    <row r="148" spans="1:7" x14ac:dyDescent="0.35">
      <c r="A148" s="1" t="s">
        <v>1400</v>
      </c>
      <c r="B148" s="1" t="s">
        <v>168</v>
      </c>
      <c r="C148" s="1" t="s">
        <v>90</v>
      </c>
      <c r="D148" s="2">
        <v>45618</v>
      </c>
      <c r="E148" s="1" t="s">
        <v>87</v>
      </c>
      <c r="F148" s="1" t="s">
        <v>1492</v>
      </c>
      <c r="G148" s="1"/>
    </row>
    <row r="149" spans="1:7" x14ac:dyDescent="0.35">
      <c r="A149" s="1" t="s">
        <v>1401</v>
      </c>
      <c r="B149" s="1" t="s">
        <v>498</v>
      </c>
      <c r="C149" s="1" t="s">
        <v>79</v>
      </c>
      <c r="D149" s="2">
        <v>45130</v>
      </c>
      <c r="E149" s="1" t="s">
        <v>80</v>
      </c>
      <c r="F149" s="1" t="s">
        <v>1493</v>
      </c>
      <c r="G149" s="1"/>
    </row>
    <row r="150" spans="1:7" x14ac:dyDescent="0.35">
      <c r="A150" s="1" t="s">
        <v>1402</v>
      </c>
      <c r="B150" s="1" t="s">
        <v>348</v>
      </c>
      <c r="C150" s="1" t="s">
        <v>86</v>
      </c>
      <c r="D150" s="2">
        <v>44967</v>
      </c>
      <c r="E150" s="1" t="s">
        <v>87</v>
      </c>
      <c r="F150" s="1" t="s">
        <v>1492</v>
      </c>
      <c r="G150" s="1"/>
    </row>
    <row r="151" spans="1:7" x14ac:dyDescent="0.35">
      <c r="A151" s="1" t="s">
        <v>1403</v>
      </c>
      <c r="B151" s="1" t="s">
        <v>185</v>
      </c>
      <c r="C151" s="1" t="s">
        <v>79</v>
      </c>
      <c r="D151" s="2">
        <v>45503</v>
      </c>
      <c r="E151" s="1" t="s">
        <v>87</v>
      </c>
      <c r="F151" s="1" t="s">
        <v>1492</v>
      </c>
      <c r="G151" s="1"/>
    </row>
    <row r="152" spans="1:7" x14ac:dyDescent="0.35">
      <c r="A152" s="1" t="s">
        <v>1404</v>
      </c>
      <c r="B152" s="1" t="s">
        <v>317</v>
      </c>
      <c r="C152" s="1" t="s">
        <v>90</v>
      </c>
      <c r="D152" s="2">
        <v>45714</v>
      </c>
      <c r="E152" s="1" t="s">
        <v>91</v>
      </c>
      <c r="F152" s="1" t="s">
        <v>1490</v>
      </c>
      <c r="G152" s="1"/>
    </row>
    <row r="153" spans="1:7" x14ac:dyDescent="0.35">
      <c r="A153" s="1" t="s">
        <v>1405</v>
      </c>
      <c r="B153" s="1" t="s">
        <v>248</v>
      </c>
      <c r="C153" s="1" t="s">
        <v>90</v>
      </c>
      <c r="D153" s="2">
        <v>45641</v>
      </c>
      <c r="E153" s="1" t="s">
        <v>87</v>
      </c>
      <c r="F153" s="1" t="s">
        <v>1492</v>
      </c>
      <c r="G153" s="1"/>
    </row>
    <row r="154" spans="1:7" x14ac:dyDescent="0.35">
      <c r="A154" s="1" t="s">
        <v>1406</v>
      </c>
      <c r="B154" s="1" t="s">
        <v>244</v>
      </c>
      <c r="C154" s="1" t="s">
        <v>86</v>
      </c>
      <c r="D154" s="2">
        <v>45378</v>
      </c>
      <c r="E154" s="1" t="s">
        <v>91</v>
      </c>
      <c r="F154" s="1" t="s">
        <v>1490</v>
      </c>
      <c r="G154" s="1"/>
    </row>
    <row r="155" spans="1:7" x14ac:dyDescent="0.35">
      <c r="A155" s="1" t="s">
        <v>1407</v>
      </c>
      <c r="B155" s="1" t="s">
        <v>193</v>
      </c>
      <c r="C155" s="1" t="s">
        <v>79</v>
      </c>
      <c r="D155" s="2">
        <v>45057</v>
      </c>
      <c r="E155" s="1" t="s">
        <v>83</v>
      </c>
      <c r="F155" s="1" t="s">
        <v>1490</v>
      </c>
      <c r="G155" s="1"/>
    </row>
    <row r="156" spans="1:7" x14ac:dyDescent="0.35">
      <c r="A156" s="1" t="s">
        <v>1408</v>
      </c>
      <c r="B156" s="1" t="s">
        <v>188</v>
      </c>
      <c r="C156" s="1" t="s">
        <v>79</v>
      </c>
      <c r="D156" s="2">
        <v>45678</v>
      </c>
      <c r="E156" s="1" t="s">
        <v>80</v>
      </c>
      <c r="F156" s="1" t="s">
        <v>1493</v>
      </c>
      <c r="G156" s="1"/>
    </row>
    <row r="157" spans="1:7" x14ac:dyDescent="0.35">
      <c r="A157" s="1" t="s">
        <v>1409</v>
      </c>
      <c r="B157" s="1" t="s">
        <v>458</v>
      </c>
      <c r="C157" s="1" t="s">
        <v>86</v>
      </c>
      <c r="D157" s="2">
        <v>45453</v>
      </c>
      <c r="E157" s="1" t="s">
        <v>87</v>
      </c>
      <c r="F157" s="1" t="s">
        <v>1492</v>
      </c>
      <c r="G157" s="1"/>
    </row>
    <row r="158" spans="1:7" x14ac:dyDescent="0.35">
      <c r="A158" s="1" t="s">
        <v>1410</v>
      </c>
      <c r="B158" s="1" t="s">
        <v>968</v>
      </c>
      <c r="C158" s="1" t="s">
        <v>79</v>
      </c>
      <c r="D158" s="2">
        <v>45117</v>
      </c>
      <c r="E158" s="1" t="s">
        <v>80</v>
      </c>
      <c r="F158" s="1" t="s">
        <v>1493</v>
      </c>
      <c r="G158" s="1"/>
    </row>
    <row r="159" spans="1:7" x14ac:dyDescent="0.35">
      <c r="A159" s="1" t="s">
        <v>1411</v>
      </c>
      <c r="B159" s="1" t="s">
        <v>311</v>
      </c>
      <c r="C159" s="1" t="s">
        <v>86</v>
      </c>
      <c r="D159" s="2">
        <v>45584</v>
      </c>
      <c r="E159" s="1" t="s">
        <v>91</v>
      </c>
      <c r="F159" s="1" t="s">
        <v>1490</v>
      </c>
      <c r="G159" s="1"/>
    </row>
    <row r="160" spans="1:7" x14ac:dyDescent="0.35">
      <c r="A160" s="1" t="s">
        <v>1412</v>
      </c>
      <c r="B160" s="1" t="s">
        <v>578</v>
      </c>
      <c r="C160" s="1" t="s">
        <v>79</v>
      </c>
      <c r="D160" s="2">
        <v>45407</v>
      </c>
      <c r="E160" s="1" t="s">
        <v>91</v>
      </c>
      <c r="F160" s="1" t="s">
        <v>1490</v>
      </c>
      <c r="G160" s="1"/>
    </row>
    <row r="161" spans="1:7" x14ac:dyDescent="0.35">
      <c r="A161" s="1" t="s">
        <v>1413</v>
      </c>
      <c r="B161" s="1" t="s">
        <v>696</v>
      </c>
      <c r="C161" s="1" t="s">
        <v>79</v>
      </c>
      <c r="D161" s="2">
        <v>45609</v>
      </c>
      <c r="E161" s="1" t="s">
        <v>87</v>
      </c>
      <c r="F161" s="1" t="s">
        <v>1492</v>
      </c>
      <c r="G161" s="1"/>
    </row>
    <row r="162" spans="1:7" x14ac:dyDescent="0.35">
      <c r="A162" s="1" t="s">
        <v>1414</v>
      </c>
      <c r="B162" s="1" t="s">
        <v>237</v>
      </c>
      <c r="C162" s="1" t="s">
        <v>86</v>
      </c>
      <c r="D162" s="2">
        <v>45252</v>
      </c>
      <c r="E162" s="1" t="s">
        <v>87</v>
      </c>
      <c r="F162" s="1" t="s">
        <v>1492</v>
      </c>
      <c r="G162" s="1"/>
    </row>
    <row r="163" spans="1:7" x14ac:dyDescent="0.35">
      <c r="A163" s="1" t="s">
        <v>1415</v>
      </c>
      <c r="B163" s="1" t="s">
        <v>812</v>
      </c>
      <c r="C163" s="1" t="s">
        <v>90</v>
      </c>
      <c r="D163" s="2">
        <v>45925</v>
      </c>
      <c r="E163" s="1" t="s">
        <v>91</v>
      </c>
      <c r="F163" s="1" t="s">
        <v>1490</v>
      </c>
      <c r="G163" s="1"/>
    </row>
    <row r="164" spans="1:7" x14ac:dyDescent="0.35">
      <c r="A164" s="1" t="s">
        <v>1416</v>
      </c>
      <c r="B164" s="1" t="s">
        <v>259</v>
      </c>
      <c r="C164" s="1" t="s">
        <v>90</v>
      </c>
      <c r="D164" s="2">
        <v>45577</v>
      </c>
      <c r="E164" s="1" t="s">
        <v>1496</v>
      </c>
      <c r="F164" s="1" t="s">
        <v>1491</v>
      </c>
      <c r="G164" s="1"/>
    </row>
    <row r="165" spans="1:7" x14ac:dyDescent="0.35">
      <c r="A165" s="1" t="s">
        <v>1417</v>
      </c>
      <c r="B165" s="1" t="s">
        <v>409</v>
      </c>
      <c r="C165" s="1" t="s">
        <v>86</v>
      </c>
      <c r="D165" s="2">
        <v>45572</v>
      </c>
      <c r="E165" s="1" t="s">
        <v>1496</v>
      </c>
      <c r="F165" s="1" t="s">
        <v>1491</v>
      </c>
      <c r="G165" s="1"/>
    </row>
    <row r="166" spans="1:7" x14ac:dyDescent="0.35">
      <c r="A166" s="1" t="s">
        <v>1418</v>
      </c>
      <c r="B166" s="1" t="s">
        <v>427</v>
      </c>
      <c r="C166" s="1" t="s">
        <v>86</v>
      </c>
      <c r="D166" s="2">
        <v>45394</v>
      </c>
      <c r="E166" s="1" t="s">
        <v>1496</v>
      </c>
      <c r="F166" s="1" t="s">
        <v>1491</v>
      </c>
      <c r="G166" s="1"/>
    </row>
    <row r="167" spans="1:7" x14ac:dyDescent="0.35">
      <c r="A167" s="1" t="s">
        <v>1419</v>
      </c>
      <c r="B167" s="1" t="s">
        <v>52</v>
      </c>
      <c r="C167" s="1" t="s">
        <v>79</v>
      </c>
      <c r="D167" s="2">
        <v>45335</v>
      </c>
      <c r="E167" s="1" t="s">
        <v>91</v>
      </c>
      <c r="F167" s="1" t="s">
        <v>1490</v>
      </c>
      <c r="G167" s="1"/>
    </row>
    <row r="168" spans="1:7" x14ac:dyDescent="0.35">
      <c r="A168" s="1" t="s">
        <v>1420</v>
      </c>
      <c r="B168" s="1" t="s">
        <v>642</v>
      </c>
      <c r="C168" s="1" t="s">
        <v>79</v>
      </c>
      <c r="D168" s="2">
        <v>45516</v>
      </c>
      <c r="E168" s="1" t="s">
        <v>80</v>
      </c>
      <c r="F168" s="1" t="s">
        <v>1493</v>
      </c>
      <c r="G168" s="1"/>
    </row>
    <row r="169" spans="1:7" x14ac:dyDescent="0.35">
      <c r="A169" s="1" t="s">
        <v>1421</v>
      </c>
      <c r="B169" s="1" t="s">
        <v>422</v>
      </c>
      <c r="C169" s="1" t="s">
        <v>90</v>
      </c>
      <c r="D169" s="2">
        <v>44960</v>
      </c>
      <c r="E169" s="1" t="s">
        <v>83</v>
      </c>
      <c r="F169" s="1" t="s">
        <v>1490</v>
      </c>
      <c r="G169" s="1"/>
    </row>
    <row r="170" spans="1:7" x14ac:dyDescent="0.35">
      <c r="A170" s="1" t="s">
        <v>1422</v>
      </c>
      <c r="B170" s="1" t="s">
        <v>241</v>
      </c>
      <c r="C170" s="1" t="s">
        <v>86</v>
      </c>
      <c r="D170" s="2">
        <v>45340</v>
      </c>
      <c r="E170" s="1" t="s">
        <v>87</v>
      </c>
      <c r="F170" s="1" t="s">
        <v>1492</v>
      </c>
      <c r="G170" s="1"/>
    </row>
    <row r="171" spans="1:7" x14ac:dyDescent="0.35">
      <c r="A171" s="1" t="s">
        <v>1423</v>
      </c>
      <c r="B171" s="1" t="s">
        <v>487</v>
      </c>
      <c r="C171" s="1" t="s">
        <v>86</v>
      </c>
      <c r="D171" s="2">
        <v>45298</v>
      </c>
      <c r="E171" s="1" t="s">
        <v>80</v>
      </c>
      <c r="F171" s="1" t="s">
        <v>1493</v>
      </c>
      <c r="G171" s="1"/>
    </row>
    <row r="172" spans="1:7" x14ac:dyDescent="0.35">
      <c r="A172" s="1" t="s">
        <v>1424</v>
      </c>
      <c r="B172" s="1" t="s">
        <v>471</v>
      </c>
      <c r="C172" s="1" t="s">
        <v>86</v>
      </c>
      <c r="D172" s="2">
        <v>45732</v>
      </c>
      <c r="E172" s="1" t="s">
        <v>87</v>
      </c>
      <c r="F172" s="1" t="s">
        <v>1492</v>
      </c>
      <c r="G172" s="1"/>
    </row>
    <row r="173" spans="1:7" x14ac:dyDescent="0.35">
      <c r="A173" s="1" t="s">
        <v>1425</v>
      </c>
      <c r="B173" s="1" t="s">
        <v>196</v>
      </c>
      <c r="C173" s="1" t="s">
        <v>79</v>
      </c>
      <c r="D173" s="2">
        <v>45425</v>
      </c>
      <c r="E173" s="1" t="s">
        <v>80</v>
      </c>
      <c r="F173" s="1" t="s">
        <v>1493</v>
      </c>
      <c r="G173" s="1"/>
    </row>
    <row r="174" spans="1:7" x14ac:dyDescent="0.35">
      <c r="A174" s="1" t="s">
        <v>1426</v>
      </c>
      <c r="B174" s="1" t="s">
        <v>252</v>
      </c>
      <c r="C174" s="1" t="s">
        <v>90</v>
      </c>
      <c r="D174" s="2">
        <v>45248</v>
      </c>
      <c r="E174" s="1" t="s">
        <v>87</v>
      </c>
      <c r="F174" s="1" t="s">
        <v>1492</v>
      </c>
      <c r="G174" s="1"/>
    </row>
    <row r="175" spans="1:7" x14ac:dyDescent="0.35">
      <c r="A175" s="1" t="s">
        <v>1427</v>
      </c>
      <c r="B175" s="1" t="s">
        <v>277</v>
      </c>
      <c r="C175" s="1" t="s">
        <v>79</v>
      </c>
      <c r="D175" s="2">
        <v>44988</v>
      </c>
      <c r="E175" s="1" t="s">
        <v>83</v>
      </c>
      <c r="F175" s="1" t="s">
        <v>1490</v>
      </c>
      <c r="G175" s="1"/>
    </row>
    <row r="176" spans="1:7" x14ac:dyDescent="0.35">
      <c r="A176" s="1" t="s">
        <v>1428</v>
      </c>
      <c r="B176" s="1" t="s">
        <v>246</v>
      </c>
      <c r="C176" s="1" t="s">
        <v>90</v>
      </c>
      <c r="D176" s="2">
        <v>45061</v>
      </c>
      <c r="E176" s="1" t="s">
        <v>87</v>
      </c>
      <c r="F176" s="1" t="s">
        <v>1492</v>
      </c>
      <c r="G176" s="1"/>
    </row>
    <row r="177" spans="1:7" x14ac:dyDescent="0.35">
      <c r="A177" s="1" t="s">
        <v>1429</v>
      </c>
      <c r="B177" s="1" t="s">
        <v>747</v>
      </c>
      <c r="C177" s="1" t="s">
        <v>86</v>
      </c>
      <c r="D177" s="2">
        <v>45114</v>
      </c>
      <c r="E177" s="1" t="s">
        <v>83</v>
      </c>
      <c r="F177" s="1" t="s">
        <v>1490</v>
      </c>
      <c r="G177" s="1"/>
    </row>
    <row r="178" spans="1:7" x14ac:dyDescent="0.35">
      <c r="A178" s="1" t="s">
        <v>1430</v>
      </c>
      <c r="B178" s="1" t="s">
        <v>296</v>
      </c>
      <c r="C178" s="1" t="s">
        <v>79</v>
      </c>
      <c r="D178" s="2">
        <v>45476</v>
      </c>
      <c r="E178" s="1" t="s">
        <v>1496</v>
      </c>
      <c r="F178" s="1" t="s">
        <v>1491</v>
      </c>
      <c r="G178" s="1"/>
    </row>
    <row r="179" spans="1:7" x14ac:dyDescent="0.35">
      <c r="A179" s="1" t="s">
        <v>1431</v>
      </c>
      <c r="B179" s="1" t="s">
        <v>658</v>
      </c>
      <c r="C179" s="1" t="s">
        <v>86</v>
      </c>
      <c r="D179" s="2">
        <v>45700</v>
      </c>
      <c r="E179" s="1" t="s">
        <v>87</v>
      </c>
      <c r="F179" s="1" t="s">
        <v>1492</v>
      </c>
      <c r="G179" s="1"/>
    </row>
    <row r="180" spans="1:7" x14ac:dyDescent="0.35">
      <c r="A180" s="1" t="s">
        <v>1432</v>
      </c>
      <c r="B180" s="1" t="s">
        <v>43</v>
      </c>
      <c r="C180" s="1" t="s">
        <v>90</v>
      </c>
      <c r="D180" s="2">
        <v>45462</v>
      </c>
      <c r="E180" s="1" t="s">
        <v>83</v>
      </c>
      <c r="F180" s="1" t="s">
        <v>1490</v>
      </c>
      <c r="G180" s="1"/>
    </row>
    <row r="181" spans="1:7" x14ac:dyDescent="0.35">
      <c r="A181" s="1" t="s">
        <v>1433</v>
      </c>
      <c r="B181" s="1" t="s">
        <v>175</v>
      </c>
      <c r="C181" s="1" t="s">
        <v>86</v>
      </c>
      <c r="D181" s="2">
        <v>44982</v>
      </c>
      <c r="E181" s="1" t="s">
        <v>1496</v>
      </c>
      <c r="F181" s="1" t="s">
        <v>1491</v>
      </c>
      <c r="G181" s="1"/>
    </row>
    <row r="182" spans="1:7" x14ac:dyDescent="0.35">
      <c r="A182" s="1" t="s">
        <v>1434</v>
      </c>
      <c r="B182" s="1" t="s">
        <v>210</v>
      </c>
      <c r="C182" s="1" t="s">
        <v>90</v>
      </c>
      <c r="D182" s="2">
        <v>45855</v>
      </c>
      <c r="E182" s="1" t="s">
        <v>91</v>
      </c>
      <c r="F182" s="1" t="s">
        <v>1490</v>
      </c>
      <c r="G182" s="1"/>
    </row>
    <row r="183" spans="1:7" x14ac:dyDescent="0.35">
      <c r="A183" s="1" t="s">
        <v>1435</v>
      </c>
      <c r="B183" s="1" t="s">
        <v>429</v>
      </c>
      <c r="C183" s="1" t="s">
        <v>86</v>
      </c>
      <c r="D183" s="2">
        <v>45552</v>
      </c>
      <c r="E183" s="1" t="s">
        <v>1496</v>
      </c>
      <c r="F183" s="1" t="s">
        <v>1491</v>
      </c>
      <c r="G183" s="1"/>
    </row>
    <row r="184" spans="1:7" x14ac:dyDescent="0.35">
      <c r="A184" s="1" t="s">
        <v>1436</v>
      </c>
      <c r="B184" s="1" t="s">
        <v>239</v>
      </c>
      <c r="C184" s="1" t="s">
        <v>90</v>
      </c>
      <c r="D184" s="2">
        <v>45227</v>
      </c>
      <c r="E184" s="1" t="s">
        <v>91</v>
      </c>
      <c r="F184" s="1" t="s">
        <v>1490</v>
      </c>
      <c r="G184" s="1"/>
    </row>
    <row r="185" spans="1:7" x14ac:dyDescent="0.35">
      <c r="A185" s="1" t="s">
        <v>1437</v>
      </c>
      <c r="B185" s="1" t="s">
        <v>180</v>
      </c>
      <c r="C185" s="1" t="s">
        <v>86</v>
      </c>
      <c r="D185" s="2">
        <v>45789</v>
      </c>
      <c r="E185" s="1" t="s">
        <v>91</v>
      </c>
      <c r="F185" s="1" t="s">
        <v>1490</v>
      </c>
      <c r="G185" s="1"/>
    </row>
    <row r="186" spans="1:7" x14ac:dyDescent="0.35">
      <c r="A186" s="1" t="s">
        <v>1438</v>
      </c>
      <c r="B186" s="1" t="s">
        <v>662</v>
      </c>
      <c r="C186" s="1" t="s">
        <v>86</v>
      </c>
      <c r="D186" s="2">
        <v>45849</v>
      </c>
      <c r="E186" s="1" t="s">
        <v>80</v>
      </c>
      <c r="F186" s="1" t="s">
        <v>1493</v>
      </c>
      <c r="G186" s="1"/>
    </row>
    <row r="187" spans="1:7" x14ac:dyDescent="0.35">
      <c r="A187" s="1" t="s">
        <v>1439</v>
      </c>
      <c r="B187" s="1" t="s">
        <v>555</v>
      </c>
      <c r="C187" s="1" t="s">
        <v>90</v>
      </c>
      <c r="D187" s="2">
        <v>45845</v>
      </c>
      <c r="E187" s="1" t="s">
        <v>83</v>
      </c>
      <c r="F187" s="1" t="s">
        <v>1490</v>
      </c>
      <c r="G187" s="1"/>
    </row>
    <row r="188" spans="1:7" x14ac:dyDescent="0.35">
      <c r="A188" s="1" t="s">
        <v>1440</v>
      </c>
      <c r="B188" s="1" t="s">
        <v>216</v>
      </c>
      <c r="C188" s="1" t="s">
        <v>90</v>
      </c>
      <c r="D188" s="2">
        <v>45823</v>
      </c>
      <c r="E188" s="1" t="s">
        <v>80</v>
      </c>
      <c r="F188" s="1" t="s">
        <v>1493</v>
      </c>
      <c r="G188" s="1"/>
    </row>
    <row r="189" spans="1:7" x14ac:dyDescent="0.35">
      <c r="A189" s="1" t="s">
        <v>1441</v>
      </c>
      <c r="B189" s="1" t="s">
        <v>14</v>
      </c>
      <c r="C189" s="1" t="s">
        <v>90</v>
      </c>
      <c r="D189" s="2">
        <v>45651</v>
      </c>
      <c r="E189" s="1" t="s">
        <v>83</v>
      </c>
      <c r="F189" s="1" t="s">
        <v>1490</v>
      </c>
      <c r="G189" s="1"/>
    </row>
    <row r="190" spans="1:7" x14ac:dyDescent="0.35">
      <c r="A190" s="1" t="s">
        <v>1442</v>
      </c>
      <c r="B190" s="1" t="s">
        <v>453</v>
      </c>
      <c r="C190" s="1" t="s">
        <v>90</v>
      </c>
      <c r="D190" s="2">
        <v>45898</v>
      </c>
      <c r="E190" s="1" t="s">
        <v>91</v>
      </c>
      <c r="F190" s="1" t="s">
        <v>1490</v>
      </c>
      <c r="G190" s="1"/>
    </row>
    <row r="191" spans="1:7" x14ac:dyDescent="0.35">
      <c r="A191" s="1" t="s">
        <v>1443</v>
      </c>
      <c r="B191" s="1" t="s">
        <v>225</v>
      </c>
      <c r="C191" s="1" t="s">
        <v>86</v>
      </c>
      <c r="D191" s="2">
        <v>45901</v>
      </c>
      <c r="E191" s="1" t="s">
        <v>91</v>
      </c>
      <c r="F191" s="1" t="s">
        <v>1490</v>
      </c>
      <c r="G191" s="1"/>
    </row>
    <row r="192" spans="1:7" x14ac:dyDescent="0.35">
      <c r="A192" s="1" t="s">
        <v>1444</v>
      </c>
      <c r="B192" s="1" t="s">
        <v>719</v>
      </c>
      <c r="C192" s="1" t="s">
        <v>86</v>
      </c>
      <c r="D192" s="2">
        <v>45248</v>
      </c>
      <c r="E192" s="1" t="s">
        <v>83</v>
      </c>
      <c r="F192" s="1" t="s">
        <v>1490</v>
      </c>
      <c r="G192" s="1"/>
    </row>
    <row r="193" spans="1:7" x14ac:dyDescent="0.35">
      <c r="A193" s="1" t="s">
        <v>1445</v>
      </c>
      <c r="B193" s="1" t="s">
        <v>834</v>
      </c>
      <c r="C193" s="1" t="s">
        <v>90</v>
      </c>
      <c r="D193" s="2">
        <v>45381</v>
      </c>
      <c r="E193" s="1" t="s">
        <v>83</v>
      </c>
      <c r="F193" s="1" t="s">
        <v>1490</v>
      </c>
      <c r="G193" s="1"/>
    </row>
    <row r="194" spans="1:7" x14ac:dyDescent="0.35">
      <c r="A194" s="1" t="s">
        <v>1446</v>
      </c>
      <c r="B194" s="1" t="s">
        <v>172</v>
      </c>
      <c r="C194" s="1" t="s">
        <v>90</v>
      </c>
      <c r="D194" s="2">
        <v>45762</v>
      </c>
      <c r="E194" s="1" t="s">
        <v>80</v>
      </c>
      <c r="F194" s="1" t="s">
        <v>1493</v>
      </c>
      <c r="G194" s="1"/>
    </row>
    <row r="195" spans="1:7" x14ac:dyDescent="0.35">
      <c r="A195" s="1" t="s">
        <v>1447</v>
      </c>
      <c r="B195" s="1" t="s">
        <v>440</v>
      </c>
      <c r="C195" s="1" t="s">
        <v>90</v>
      </c>
      <c r="D195" s="2">
        <v>45811</v>
      </c>
      <c r="E195" s="1" t="s">
        <v>87</v>
      </c>
      <c r="F195" s="1" t="s">
        <v>1492</v>
      </c>
      <c r="G195" s="1"/>
    </row>
    <row r="196" spans="1:7" x14ac:dyDescent="0.35">
      <c r="A196" s="1" t="s">
        <v>1448</v>
      </c>
      <c r="B196" s="1" t="s">
        <v>493</v>
      </c>
      <c r="C196" s="1" t="s">
        <v>86</v>
      </c>
      <c r="D196" s="2">
        <v>45870</v>
      </c>
      <c r="E196" s="1" t="s">
        <v>1496</v>
      </c>
      <c r="F196" s="1" t="s">
        <v>1491</v>
      </c>
      <c r="G196" s="1"/>
    </row>
    <row r="197" spans="1:7" x14ac:dyDescent="0.35">
      <c r="A197" s="1" t="s">
        <v>1449</v>
      </c>
      <c r="B197" s="1" t="s">
        <v>183</v>
      </c>
      <c r="C197" s="1" t="s">
        <v>90</v>
      </c>
      <c r="D197" s="2">
        <v>45798</v>
      </c>
      <c r="E197" s="1" t="s">
        <v>91</v>
      </c>
      <c r="F197" s="1" t="s">
        <v>1490</v>
      </c>
      <c r="G197" s="1"/>
    </row>
    <row r="198" spans="1:7" x14ac:dyDescent="0.35">
      <c r="A198" s="1" t="s">
        <v>1450</v>
      </c>
      <c r="B198" s="1" t="s">
        <v>352</v>
      </c>
      <c r="C198" s="1" t="s">
        <v>86</v>
      </c>
      <c r="D198" s="2">
        <v>45514</v>
      </c>
      <c r="E198" s="1" t="s">
        <v>83</v>
      </c>
      <c r="F198" s="1" t="s">
        <v>1490</v>
      </c>
      <c r="G198" s="1"/>
    </row>
    <row r="199" spans="1:7" x14ac:dyDescent="0.35">
      <c r="A199" s="1" t="s">
        <v>1451</v>
      </c>
      <c r="B199" s="1" t="s">
        <v>56</v>
      </c>
      <c r="C199" s="1" t="s">
        <v>79</v>
      </c>
      <c r="D199" s="2">
        <v>45313</v>
      </c>
      <c r="E199" s="1" t="s">
        <v>83</v>
      </c>
      <c r="F199" s="1" t="s">
        <v>1490</v>
      </c>
      <c r="G199" s="1"/>
    </row>
    <row r="200" spans="1:7" x14ac:dyDescent="0.35">
      <c r="A200" s="1" t="s">
        <v>1452</v>
      </c>
      <c r="B200" s="1" t="s">
        <v>323</v>
      </c>
      <c r="C200" s="1" t="s">
        <v>86</v>
      </c>
      <c r="D200" s="2">
        <v>45534</v>
      </c>
      <c r="E200" s="1" t="s">
        <v>80</v>
      </c>
      <c r="F200" s="1" t="s">
        <v>1493</v>
      </c>
      <c r="G200" s="1"/>
    </row>
    <row r="201" spans="1:7" x14ac:dyDescent="0.35">
      <c r="A201" s="1" t="s">
        <v>1453</v>
      </c>
      <c r="B201" s="1" t="s">
        <v>201</v>
      </c>
      <c r="C201" s="1" t="s">
        <v>86</v>
      </c>
      <c r="D201" s="2">
        <v>45278</v>
      </c>
      <c r="E201" s="1" t="s">
        <v>83</v>
      </c>
      <c r="F201" s="1" t="s">
        <v>1490</v>
      </c>
      <c r="G201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workbookViewId="0">
      <selection activeCell="D14" sqref="D14"/>
    </sheetView>
  </sheetViews>
  <sheetFormatPr defaultRowHeight="14.5" x14ac:dyDescent="0.35"/>
  <sheetData>
    <row r="1" spans="1:1" x14ac:dyDescent="0.35">
      <c r="A1" s="3" t="s">
        <v>3</v>
      </c>
    </row>
    <row r="2" spans="1:1" x14ac:dyDescent="0.35">
      <c r="A2" s="1" t="s">
        <v>15</v>
      </c>
    </row>
    <row r="3" spans="1:1" x14ac:dyDescent="0.35">
      <c r="A3" s="1" t="s">
        <v>25</v>
      </c>
    </row>
    <row r="4" spans="1:1" x14ac:dyDescent="0.35">
      <c r="A4" s="1" t="s">
        <v>35</v>
      </c>
    </row>
    <row r="5" spans="1:1" x14ac:dyDescent="0.35">
      <c r="A5" s="1" t="s">
        <v>38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097"/>
  <sheetViews>
    <sheetView workbookViewId="0">
      <selection sqref="A1:A1097"/>
    </sheetView>
  </sheetViews>
  <sheetFormatPr defaultRowHeight="14.5" x14ac:dyDescent="0.35"/>
  <cols>
    <col min="1" max="1" width="10.453125" bestFit="1" customWidth="1"/>
  </cols>
  <sheetData>
    <row r="1" spans="1:1" x14ac:dyDescent="0.35">
      <c r="A1" s="1" t="s">
        <v>1455</v>
      </c>
    </row>
    <row r="2" spans="1:1" x14ac:dyDescent="0.35">
      <c r="A2" s="2">
        <v>44927</v>
      </c>
    </row>
    <row r="3" spans="1:1" x14ac:dyDescent="0.35">
      <c r="A3" s="2">
        <v>44928</v>
      </c>
    </row>
    <row r="4" spans="1:1" x14ac:dyDescent="0.35">
      <c r="A4" s="2">
        <v>44929</v>
      </c>
    </row>
    <row r="5" spans="1:1" x14ac:dyDescent="0.35">
      <c r="A5" s="2">
        <v>44930</v>
      </c>
    </row>
    <row r="6" spans="1:1" x14ac:dyDescent="0.35">
      <c r="A6" s="2">
        <v>44931</v>
      </c>
    </row>
    <row r="7" spans="1:1" x14ac:dyDescent="0.35">
      <c r="A7" s="2">
        <v>44932</v>
      </c>
    </row>
    <row r="8" spans="1:1" x14ac:dyDescent="0.35">
      <c r="A8" s="2">
        <v>44933</v>
      </c>
    </row>
    <row r="9" spans="1:1" x14ac:dyDescent="0.35">
      <c r="A9" s="2">
        <v>44934</v>
      </c>
    </row>
    <row r="10" spans="1:1" x14ac:dyDescent="0.35">
      <c r="A10" s="2">
        <v>44935</v>
      </c>
    </row>
    <row r="11" spans="1:1" x14ac:dyDescent="0.35">
      <c r="A11" s="2">
        <v>44936</v>
      </c>
    </row>
    <row r="12" spans="1:1" x14ac:dyDescent="0.35">
      <c r="A12" s="2">
        <v>44937</v>
      </c>
    </row>
    <row r="13" spans="1:1" x14ac:dyDescent="0.35">
      <c r="A13" s="2">
        <v>44938</v>
      </c>
    </row>
    <row r="14" spans="1:1" x14ac:dyDescent="0.35">
      <c r="A14" s="2">
        <v>44939</v>
      </c>
    </row>
    <row r="15" spans="1:1" x14ac:dyDescent="0.35">
      <c r="A15" s="2">
        <v>44940</v>
      </c>
    </row>
    <row r="16" spans="1:1" x14ac:dyDescent="0.35">
      <c r="A16" s="2">
        <v>44941</v>
      </c>
    </row>
    <row r="17" spans="1:1" x14ac:dyDescent="0.35">
      <c r="A17" s="2">
        <v>44942</v>
      </c>
    </row>
    <row r="18" spans="1:1" x14ac:dyDescent="0.35">
      <c r="A18" s="2">
        <v>44943</v>
      </c>
    </row>
    <row r="19" spans="1:1" x14ac:dyDescent="0.35">
      <c r="A19" s="2">
        <v>44944</v>
      </c>
    </row>
    <row r="20" spans="1:1" x14ac:dyDescent="0.35">
      <c r="A20" s="2">
        <v>44945</v>
      </c>
    </row>
    <row r="21" spans="1:1" x14ac:dyDescent="0.35">
      <c r="A21" s="2">
        <v>44946</v>
      </c>
    </row>
    <row r="22" spans="1:1" x14ac:dyDescent="0.35">
      <c r="A22" s="2">
        <v>44947</v>
      </c>
    </row>
    <row r="23" spans="1:1" x14ac:dyDescent="0.35">
      <c r="A23" s="2">
        <v>44948</v>
      </c>
    </row>
    <row r="24" spans="1:1" x14ac:dyDescent="0.35">
      <c r="A24" s="2">
        <v>44949</v>
      </c>
    </row>
    <row r="25" spans="1:1" x14ac:dyDescent="0.35">
      <c r="A25" s="2">
        <v>44950</v>
      </c>
    </row>
    <row r="26" spans="1:1" x14ac:dyDescent="0.35">
      <c r="A26" s="2">
        <v>44951</v>
      </c>
    </row>
    <row r="27" spans="1:1" x14ac:dyDescent="0.35">
      <c r="A27" s="2">
        <v>44952</v>
      </c>
    </row>
    <row r="28" spans="1:1" x14ac:dyDescent="0.35">
      <c r="A28" s="2">
        <v>44953</v>
      </c>
    </row>
    <row r="29" spans="1:1" x14ac:dyDescent="0.35">
      <c r="A29" s="2">
        <v>44954</v>
      </c>
    </row>
    <row r="30" spans="1:1" x14ac:dyDescent="0.35">
      <c r="A30" s="2">
        <v>44955</v>
      </c>
    </row>
    <row r="31" spans="1:1" x14ac:dyDescent="0.35">
      <c r="A31" s="2">
        <v>44956</v>
      </c>
    </row>
    <row r="32" spans="1:1" x14ac:dyDescent="0.35">
      <c r="A32" s="2">
        <v>44957</v>
      </c>
    </row>
    <row r="33" spans="1:1" x14ac:dyDescent="0.35">
      <c r="A33" s="2">
        <v>44958</v>
      </c>
    </row>
    <row r="34" spans="1:1" x14ac:dyDescent="0.35">
      <c r="A34" s="2">
        <v>44959</v>
      </c>
    </row>
    <row r="35" spans="1:1" x14ac:dyDescent="0.35">
      <c r="A35" s="2">
        <v>44960</v>
      </c>
    </row>
    <row r="36" spans="1:1" x14ac:dyDescent="0.35">
      <c r="A36" s="2">
        <v>44961</v>
      </c>
    </row>
    <row r="37" spans="1:1" x14ac:dyDescent="0.35">
      <c r="A37" s="2">
        <v>44962</v>
      </c>
    </row>
    <row r="38" spans="1:1" x14ac:dyDescent="0.35">
      <c r="A38" s="2">
        <v>44963</v>
      </c>
    </row>
    <row r="39" spans="1:1" x14ac:dyDescent="0.35">
      <c r="A39" s="2">
        <v>44964</v>
      </c>
    </row>
    <row r="40" spans="1:1" x14ac:dyDescent="0.35">
      <c r="A40" s="2">
        <v>44965</v>
      </c>
    </row>
    <row r="41" spans="1:1" x14ac:dyDescent="0.35">
      <c r="A41" s="2">
        <v>44966</v>
      </c>
    </row>
    <row r="42" spans="1:1" x14ac:dyDescent="0.35">
      <c r="A42" s="2">
        <v>44967</v>
      </c>
    </row>
    <row r="43" spans="1:1" x14ac:dyDescent="0.35">
      <c r="A43" s="2">
        <v>44968</v>
      </c>
    </row>
    <row r="44" spans="1:1" x14ac:dyDescent="0.35">
      <c r="A44" s="2">
        <v>44969</v>
      </c>
    </row>
    <row r="45" spans="1:1" x14ac:dyDescent="0.35">
      <c r="A45" s="2">
        <v>44970</v>
      </c>
    </row>
    <row r="46" spans="1:1" x14ac:dyDescent="0.35">
      <c r="A46" s="2">
        <v>44971</v>
      </c>
    </row>
    <row r="47" spans="1:1" x14ac:dyDescent="0.35">
      <c r="A47" s="2">
        <v>44972</v>
      </c>
    </row>
    <row r="48" spans="1:1" x14ac:dyDescent="0.35">
      <c r="A48" s="2">
        <v>44973</v>
      </c>
    </row>
    <row r="49" spans="1:1" x14ac:dyDescent="0.35">
      <c r="A49" s="2">
        <v>44974</v>
      </c>
    </row>
    <row r="50" spans="1:1" x14ac:dyDescent="0.35">
      <c r="A50" s="2">
        <v>44975</v>
      </c>
    </row>
    <row r="51" spans="1:1" x14ac:dyDescent="0.35">
      <c r="A51" s="2">
        <v>44976</v>
      </c>
    </row>
    <row r="52" spans="1:1" x14ac:dyDescent="0.35">
      <c r="A52" s="2">
        <v>44977</v>
      </c>
    </row>
    <row r="53" spans="1:1" x14ac:dyDescent="0.35">
      <c r="A53" s="2">
        <v>44978</v>
      </c>
    </row>
    <row r="54" spans="1:1" x14ac:dyDescent="0.35">
      <c r="A54" s="2">
        <v>44979</v>
      </c>
    </row>
    <row r="55" spans="1:1" x14ac:dyDescent="0.35">
      <c r="A55" s="2">
        <v>44980</v>
      </c>
    </row>
    <row r="56" spans="1:1" x14ac:dyDescent="0.35">
      <c r="A56" s="2">
        <v>44981</v>
      </c>
    </row>
    <row r="57" spans="1:1" x14ac:dyDescent="0.35">
      <c r="A57" s="2">
        <v>44982</v>
      </c>
    </row>
    <row r="58" spans="1:1" x14ac:dyDescent="0.35">
      <c r="A58" s="2">
        <v>44983</v>
      </c>
    </row>
    <row r="59" spans="1:1" x14ac:dyDescent="0.35">
      <c r="A59" s="2">
        <v>44984</v>
      </c>
    </row>
    <row r="60" spans="1:1" x14ac:dyDescent="0.35">
      <c r="A60" s="2">
        <v>44985</v>
      </c>
    </row>
    <row r="61" spans="1:1" x14ac:dyDescent="0.35">
      <c r="A61" s="2">
        <v>44986</v>
      </c>
    </row>
    <row r="62" spans="1:1" x14ac:dyDescent="0.35">
      <c r="A62" s="2">
        <v>44987</v>
      </c>
    </row>
    <row r="63" spans="1:1" x14ac:dyDescent="0.35">
      <c r="A63" s="2">
        <v>44988</v>
      </c>
    </row>
    <row r="64" spans="1:1" x14ac:dyDescent="0.35">
      <c r="A64" s="2">
        <v>44989</v>
      </c>
    </row>
    <row r="65" spans="1:1" x14ac:dyDescent="0.35">
      <c r="A65" s="2">
        <v>44990</v>
      </c>
    </row>
    <row r="66" spans="1:1" x14ac:dyDescent="0.35">
      <c r="A66" s="2">
        <v>44991</v>
      </c>
    </row>
    <row r="67" spans="1:1" x14ac:dyDescent="0.35">
      <c r="A67" s="2">
        <v>44992</v>
      </c>
    </row>
    <row r="68" spans="1:1" x14ac:dyDescent="0.35">
      <c r="A68" s="2">
        <v>44993</v>
      </c>
    </row>
    <row r="69" spans="1:1" x14ac:dyDescent="0.35">
      <c r="A69" s="2">
        <v>44994</v>
      </c>
    </row>
    <row r="70" spans="1:1" x14ac:dyDescent="0.35">
      <c r="A70" s="2">
        <v>44995</v>
      </c>
    </row>
    <row r="71" spans="1:1" x14ac:dyDescent="0.35">
      <c r="A71" s="2">
        <v>44996</v>
      </c>
    </row>
    <row r="72" spans="1:1" x14ac:dyDescent="0.35">
      <c r="A72" s="2">
        <v>44997</v>
      </c>
    </row>
    <row r="73" spans="1:1" x14ac:dyDescent="0.35">
      <c r="A73" s="2">
        <v>44998</v>
      </c>
    </row>
    <row r="74" spans="1:1" x14ac:dyDescent="0.35">
      <c r="A74" s="2">
        <v>44999</v>
      </c>
    </row>
    <row r="75" spans="1:1" x14ac:dyDescent="0.35">
      <c r="A75" s="2">
        <v>45000</v>
      </c>
    </row>
    <row r="76" spans="1:1" x14ac:dyDescent="0.35">
      <c r="A76" s="2">
        <v>45001</v>
      </c>
    </row>
    <row r="77" spans="1:1" x14ac:dyDescent="0.35">
      <c r="A77" s="2">
        <v>45002</v>
      </c>
    </row>
    <row r="78" spans="1:1" x14ac:dyDescent="0.35">
      <c r="A78" s="2">
        <v>45003</v>
      </c>
    </row>
    <row r="79" spans="1:1" x14ac:dyDescent="0.35">
      <c r="A79" s="2">
        <v>45004</v>
      </c>
    </row>
    <row r="80" spans="1:1" x14ac:dyDescent="0.35">
      <c r="A80" s="2">
        <v>45005</v>
      </c>
    </row>
    <row r="81" spans="1:1" x14ac:dyDescent="0.35">
      <c r="A81" s="2">
        <v>45006</v>
      </c>
    </row>
    <row r="82" spans="1:1" x14ac:dyDescent="0.35">
      <c r="A82" s="2">
        <v>45007</v>
      </c>
    </row>
    <row r="83" spans="1:1" x14ac:dyDescent="0.35">
      <c r="A83" s="2">
        <v>45008</v>
      </c>
    </row>
    <row r="84" spans="1:1" x14ac:dyDescent="0.35">
      <c r="A84" s="2">
        <v>45009</v>
      </c>
    </row>
    <row r="85" spans="1:1" x14ac:dyDescent="0.35">
      <c r="A85" s="2">
        <v>45010</v>
      </c>
    </row>
    <row r="86" spans="1:1" x14ac:dyDescent="0.35">
      <c r="A86" s="2">
        <v>45011</v>
      </c>
    </row>
    <row r="87" spans="1:1" x14ac:dyDescent="0.35">
      <c r="A87" s="2">
        <v>45012</v>
      </c>
    </row>
    <row r="88" spans="1:1" x14ac:dyDescent="0.35">
      <c r="A88" s="2">
        <v>45013</v>
      </c>
    </row>
    <row r="89" spans="1:1" x14ac:dyDescent="0.35">
      <c r="A89" s="2">
        <v>45014</v>
      </c>
    </row>
    <row r="90" spans="1:1" x14ac:dyDescent="0.35">
      <c r="A90" s="2">
        <v>45015</v>
      </c>
    </row>
    <row r="91" spans="1:1" x14ac:dyDescent="0.35">
      <c r="A91" s="2">
        <v>45016</v>
      </c>
    </row>
    <row r="92" spans="1:1" x14ac:dyDescent="0.35">
      <c r="A92" s="2">
        <v>45017</v>
      </c>
    </row>
    <row r="93" spans="1:1" x14ac:dyDescent="0.35">
      <c r="A93" s="2">
        <v>45018</v>
      </c>
    </row>
    <row r="94" spans="1:1" x14ac:dyDescent="0.35">
      <c r="A94" s="2">
        <v>45019</v>
      </c>
    </row>
    <row r="95" spans="1:1" x14ac:dyDescent="0.35">
      <c r="A95" s="2">
        <v>45020</v>
      </c>
    </row>
    <row r="96" spans="1:1" x14ac:dyDescent="0.35">
      <c r="A96" s="2">
        <v>45021</v>
      </c>
    </row>
    <row r="97" spans="1:1" x14ac:dyDescent="0.35">
      <c r="A97" s="2">
        <v>45022</v>
      </c>
    </row>
    <row r="98" spans="1:1" x14ac:dyDescent="0.35">
      <c r="A98" s="2">
        <v>45023</v>
      </c>
    </row>
    <row r="99" spans="1:1" x14ac:dyDescent="0.35">
      <c r="A99" s="2">
        <v>45024</v>
      </c>
    </row>
    <row r="100" spans="1:1" x14ac:dyDescent="0.35">
      <c r="A100" s="2">
        <v>45025</v>
      </c>
    </row>
    <row r="101" spans="1:1" x14ac:dyDescent="0.35">
      <c r="A101" s="2">
        <v>45026</v>
      </c>
    </row>
    <row r="102" spans="1:1" x14ac:dyDescent="0.35">
      <c r="A102" s="2">
        <v>45027</v>
      </c>
    </row>
    <row r="103" spans="1:1" x14ac:dyDescent="0.35">
      <c r="A103" s="2">
        <v>45028</v>
      </c>
    </row>
    <row r="104" spans="1:1" x14ac:dyDescent="0.35">
      <c r="A104" s="2">
        <v>45029</v>
      </c>
    </row>
    <row r="105" spans="1:1" x14ac:dyDescent="0.35">
      <c r="A105" s="2">
        <v>45030</v>
      </c>
    </row>
    <row r="106" spans="1:1" x14ac:dyDescent="0.35">
      <c r="A106" s="2">
        <v>45031</v>
      </c>
    </row>
    <row r="107" spans="1:1" x14ac:dyDescent="0.35">
      <c r="A107" s="2">
        <v>45032</v>
      </c>
    </row>
    <row r="108" spans="1:1" x14ac:dyDescent="0.35">
      <c r="A108" s="2">
        <v>45033</v>
      </c>
    </row>
    <row r="109" spans="1:1" x14ac:dyDescent="0.35">
      <c r="A109" s="2">
        <v>45034</v>
      </c>
    </row>
    <row r="110" spans="1:1" x14ac:dyDescent="0.35">
      <c r="A110" s="2">
        <v>45035</v>
      </c>
    </row>
    <row r="111" spans="1:1" x14ac:dyDescent="0.35">
      <c r="A111" s="2">
        <v>45036</v>
      </c>
    </row>
    <row r="112" spans="1:1" x14ac:dyDescent="0.35">
      <c r="A112" s="2">
        <v>45037</v>
      </c>
    </row>
    <row r="113" spans="1:1" x14ac:dyDescent="0.35">
      <c r="A113" s="2">
        <v>45038</v>
      </c>
    </row>
    <row r="114" spans="1:1" x14ac:dyDescent="0.35">
      <c r="A114" s="2">
        <v>45039</v>
      </c>
    </row>
    <row r="115" spans="1:1" x14ac:dyDescent="0.35">
      <c r="A115" s="2">
        <v>45040</v>
      </c>
    </row>
    <row r="116" spans="1:1" x14ac:dyDescent="0.35">
      <c r="A116" s="2">
        <v>45041</v>
      </c>
    </row>
    <row r="117" spans="1:1" x14ac:dyDescent="0.35">
      <c r="A117" s="2">
        <v>45042</v>
      </c>
    </row>
    <row r="118" spans="1:1" x14ac:dyDescent="0.35">
      <c r="A118" s="2">
        <v>45043</v>
      </c>
    </row>
    <row r="119" spans="1:1" x14ac:dyDescent="0.35">
      <c r="A119" s="2">
        <v>45044</v>
      </c>
    </row>
    <row r="120" spans="1:1" x14ac:dyDescent="0.35">
      <c r="A120" s="2">
        <v>45045</v>
      </c>
    </row>
    <row r="121" spans="1:1" x14ac:dyDescent="0.35">
      <c r="A121" s="2">
        <v>45046</v>
      </c>
    </row>
    <row r="122" spans="1:1" x14ac:dyDescent="0.35">
      <c r="A122" s="2">
        <v>45047</v>
      </c>
    </row>
    <row r="123" spans="1:1" x14ac:dyDescent="0.35">
      <c r="A123" s="2">
        <v>45048</v>
      </c>
    </row>
    <row r="124" spans="1:1" x14ac:dyDescent="0.35">
      <c r="A124" s="2">
        <v>45049</v>
      </c>
    </row>
    <row r="125" spans="1:1" x14ac:dyDescent="0.35">
      <c r="A125" s="2">
        <v>45050</v>
      </c>
    </row>
    <row r="126" spans="1:1" x14ac:dyDescent="0.35">
      <c r="A126" s="2">
        <v>45051</v>
      </c>
    </row>
    <row r="127" spans="1:1" x14ac:dyDescent="0.35">
      <c r="A127" s="2">
        <v>45052</v>
      </c>
    </row>
    <row r="128" spans="1:1" x14ac:dyDescent="0.35">
      <c r="A128" s="2">
        <v>45053</v>
      </c>
    </row>
    <row r="129" spans="1:1" x14ac:dyDescent="0.35">
      <c r="A129" s="2">
        <v>45054</v>
      </c>
    </row>
    <row r="130" spans="1:1" x14ac:dyDescent="0.35">
      <c r="A130" s="2">
        <v>45055</v>
      </c>
    </row>
    <row r="131" spans="1:1" x14ac:dyDescent="0.35">
      <c r="A131" s="2">
        <v>45056</v>
      </c>
    </row>
    <row r="132" spans="1:1" x14ac:dyDescent="0.35">
      <c r="A132" s="2">
        <v>45057</v>
      </c>
    </row>
    <row r="133" spans="1:1" x14ac:dyDescent="0.35">
      <c r="A133" s="2">
        <v>45058</v>
      </c>
    </row>
    <row r="134" spans="1:1" x14ac:dyDescent="0.35">
      <c r="A134" s="2">
        <v>45059</v>
      </c>
    </row>
    <row r="135" spans="1:1" x14ac:dyDescent="0.35">
      <c r="A135" s="2">
        <v>45060</v>
      </c>
    </row>
    <row r="136" spans="1:1" x14ac:dyDescent="0.35">
      <c r="A136" s="2">
        <v>45061</v>
      </c>
    </row>
    <row r="137" spans="1:1" x14ac:dyDescent="0.35">
      <c r="A137" s="2">
        <v>45062</v>
      </c>
    </row>
    <row r="138" spans="1:1" x14ac:dyDescent="0.35">
      <c r="A138" s="2">
        <v>45063</v>
      </c>
    </row>
    <row r="139" spans="1:1" x14ac:dyDescent="0.35">
      <c r="A139" s="2">
        <v>45064</v>
      </c>
    </row>
    <row r="140" spans="1:1" x14ac:dyDescent="0.35">
      <c r="A140" s="2">
        <v>45065</v>
      </c>
    </row>
    <row r="141" spans="1:1" x14ac:dyDescent="0.35">
      <c r="A141" s="2">
        <v>45066</v>
      </c>
    </row>
    <row r="142" spans="1:1" x14ac:dyDescent="0.35">
      <c r="A142" s="2">
        <v>45067</v>
      </c>
    </row>
    <row r="143" spans="1:1" x14ac:dyDescent="0.35">
      <c r="A143" s="2">
        <v>45068</v>
      </c>
    </row>
    <row r="144" spans="1:1" x14ac:dyDescent="0.35">
      <c r="A144" s="2">
        <v>45069</v>
      </c>
    </row>
    <row r="145" spans="1:1" x14ac:dyDescent="0.35">
      <c r="A145" s="2">
        <v>45070</v>
      </c>
    </row>
    <row r="146" spans="1:1" x14ac:dyDescent="0.35">
      <c r="A146" s="2">
        <v>45071</v>
      </c>
    </row>
    <row r="147" spans="1:1" x14ac:dyDescent="0.35">
      <c r="A147" s="2">
        <v>45072</v>
      </c>
    </row>
    <row r="148" spans="1:1" x14ac:dyDescent="0.35">
      <c r="A148" s="2">
        <v>45073</v>
      </c>
    </row>
    <row r="149" spans="1:1" x14ac:dyDescent="0.35">
      <c r="A149" s="2">
        <v>45074</v>
      </c>
    </row>
    <row r="150" spans="1:1" x14ac:dyDescent="0.35">
      <c r="A150" s="2">
        <v>45075</v>
      </c>
    </row>
    <row r="151" spans="1:1" x14ac:dyDescent="0.35">
      <c r="A151" s="2">
        <v>45076</v>
      </c>
    </row>
    <row r="152" spans="1:1" x14ac:dyDescent="0.35">
      <c r="A152" s="2">
        <v>45077</v>
      </c>
    </row>
    <row r="153" spans="1:1" x14ac:dyDescent="0.35">
      <c r="A153" s="2">
        <v>45078</v>
      </c>
    </row>
    <row r="154" spans="1:1" x14ac:dyDescent="0.35">
      <c r="A154" s="2">
        <v>45079</v>
      </c>
    </row>
    <row r="155" spans="1:1" x14ac:dyDescent="0.35">
      <c r="A155" s="2">
        <v>45080</v>
      </c>
    </row>
    <row r="156" spans="1:1" x14ac:dyDescent="0.35">
      <c r="A156" s="2">
        <v>45081</v>
      </c>
    </row>
    <row r="157" spans="1:1" x14ac:dyDescent="0.35">
      <c r="A157" s="2">
        <v>45082</v>
      </c>
    </row>
    <row r="158" spans="1:1" x14ac:dyDescent="0.35">
      <c r="A158" s="2">
        <v>45083</v>
      </c>
    </row>
    <row r="159" spans="1:1" x14ac:dyDescent="0.35">
      <c r="A159" s="2">
        <v>45084</v>
      </c>
    </row>
    <row r="160" spans="1:1" x14ac:dyDescent="0.35">
      <c r="A160" s="2">
        <v>45085</v>
      </c>
    </row>
    <row r="161" spans="1:1" x14ac:dyDescent="0.35">
      <c r="A161" s="2">
        <v>45086</v>
      </c>
    </row>
    <row r="162" spans="1:1" x14ac:dyDescent="0.35">
      <c r="A162" s="2">
        <v>45087</v>
      </c>
    </row>
    <row r="163" spans="1:1" x14ac:dyDescent="0.35">
      <c r="A163" s="2">
        <v>45088</v>
      </c>
    </row>
    <row r="164" spans="1:1" x14ac:dyDescent="0.35">
      <c r="A164" s="2">
        <v>45089</v>
      </c>
    </row>
    <row r="165" spans="1:1" x14ac:dyDescent="0.35">
      <c r="A165" s="2">
        <v>45090</v>
      </c>
    </row>
    <row r="166" spans="1:1" x14ac:dyDescent="0.35">
      <c r="A166" s="2">
        <v>45091</v>
      </c>
    </row>
    <row r="167" spans="1:1" x14ac:dyDescent="0.35">
      <c r="A167" s="2">
        <v>45092</v>
      </c>
    </row>
    <row r="168" spans="1:1" x14ac:dyDescent="0.35">
      <c r="A168" s="2">
        <v>45093</v>
      </c>
    </row>
    <row r="169" spans="1:1" x14ac:dyDescent="0.35">
      <c r="A169" s="2">
        <v>45094</v>
      </c>
    </row>
    <row r="170" spans="1:1" x14ac:dyDescent="0.35">
      <c r="A170" s="2">
        <v>45095</v>
      </c>
    </row>
    <row r="171" spans="1:1" x14ac:dyDescent="0.35">
      <c r="A171" s="2">
        <v>45096</v>
      </c>
    </row>
    <row r="172" spans="1:1" x14ac:dyDescent="0.35">
      <c r="A172" s="2">
        <v>45097</v>
      </c>
    </row>
    <row r="173" spans="1:1" x14ac:dyDescent="0.35">
      <c r="A173" s="2">
        <v>45098</v>
      </c>
    </row>
    <row r="174" spans="1:1" x14ac:dyDescent="0.35">
      <c r="A174" s="2">
        <v>45099</v>
      </c>
    </row>
    <row r="175" spans="1:1" x14ac:dyDescent="0.35">
      <c r="A175" s="2">
        <v>45100</v>
      </c>
    </row>
    <row r="176" spans="1:1" x14ac:dyDescent="0.35">
      <c r="A176" s="2">
        <v>45101</v>
      </c>
    </row>
    <row r="177" spans="1:1" x14ac:dyDescent="0.35">
      <c r="A177" s="2">
        <v>45102</v>
      </c>
    </row>
    <row r="178" spans="1:1" x14ac:dyDescent="0.35">
      <c r="A178" s="2">
        <v>45103</v>
      </c>
    </row>
    <row r="179" spans="1:1" x14ac:dyDescent="0.35">
      <c r="A179" s="2">
        <v>45104</v>
      </c>
    </row>
    <row r="180" spans="1:1" x14ac:dyDescent="0.35">
      <c r="A180" s="2">
        <v>45105</v>
      </c>
    </row>
    <row r="181" spans="1:1" x14ac:dyDescent="0.35">
      <c r="A181" s="2">
        <v>45106</v>
      </c>
    </row>
    <row r="182" spans="1:1" x14ac:dyDescent="0.35">
      <c r="A182" s="2">
        <v>45107</v>
      </c>
    </row>
    <row r="183" spans="1:1" x14ac:dyDescent="0.35">
      <c r="A183" s="2">
        <v>45108</v>
      </c>
    </row>
    <row r="184" spans="1:1" x14ac:dyDescent="0.35">
      <c r="A184" s="2">
        <v>45109</v>
      </c>
    </row>
    <row r="185" spans="1:1" x14ac:dyDescent="0.35">
      <c r="A185" s="2">
        <v>45110</v>
      </c>
    </row>
    <row r="186" spans="1:1" x14ac:dyDescent="0.35">
      <c r="A186" s="2">
        <v>45111</v>
      </c>
    </row>
    <row r="187" spans="1:1" x14ac:dyDescent="0.35">
      <c r="A187" s="2">
        <v>45112</v>
      </c>
    </row>
    <row r="188" spans="1:1" x14ac:dyDescent="0.35">
      <c r="A188" s="2">
        <v>45113</v>
      </c>
    </row>
    <row r="189" spans="1:1" x14ac:dyDescent="0.35">
      <c r="A189" s="2">
        <v>45114</v>
      </c>
    </row>
    <row r="190" spans="1:1" x14ac:dyDescent="0.35">
      <c r="A190" s="2">
        <v>45115</v>
      </c>
    </row>
    <row r="191" spans="1:1" x14ac:dyDescent="0.35">
      <c r="A191" s="2">
        <v>45116</v>
      </c>
    </row>
    <row r="192" spans="1:1" x14ac:dyDescent="0.35">
      <c r="A192" s="2">
        <v>45117</v>
      </c>
    </row>
    <row r="193" spans="1:1" x14ac:dyDescent="0.35">
      <c r="A193" s="2">
        <v>45118</v>
      </c>
    </row>
    <row r="194" spans="1:1" x14ac:dyDescent="0.35">
      <c r="A194" s="2">
        <v>45119</v>
      </c>
    </row>
    <row r="195" spans="1:1" x14ac:dyDescent="0.35">
      <c r="A195" s="2">
        <v>45120</v>
      </c>
    </row>
    <row r="196" spans="1:1" x14ac:dyDescent="0.35">
      <c r="A196" s="2">
        <v>45121</v>
      </c>
    </row>
    <row r="197" spans="1:1" x14ac:dyDescent="0.35">
      <c r="A197" s="2">
        <v>45122</v>
      </c>
    </row>
    <row r="198" spans="1:1" x14ac:dyDescent="0.35">
      <c r="A198" s="2">
        <v>45123</v>
      </c>
    </row>
    <row r="199" spans="1:1" x14ac:dyDescent="0.35">
      <c r="A199" s="2">
        <v>45124</v>
      </c>
    </row>
    <row r="200" spans="1:1" x14ac:dyDescent="0.35">
      <c r="A200" s="2">
        <v>45125</v>
      </c>
    </row>
    <row r="201" spans="1:1" x14ac:dyDescent="0.35">
      <c r="A201" s="2">
        <v>45126</v>
      </c>
    </row>
    <row r="202" spans="1:1" x14ac:dyDescent="0.35">
      <c r="A202" s="2">
        <v>45127</v>
      </c>
    </row>
    <row r="203" spans="1:1" x14ac:dyDescent="0.35">
      <c r="A203" s="2">
        <v>45128</v>
      </c>
    </row>
    <row r="204" spans="1:1" x14ac:dyDescent="0.35">
      <c r="A204" s="2">
        <v>45129</v>
      </c>
    </row>
    <row r="205" spans="1:1" x14ac:dyDescent="0.35">
      <c r="A205" s="2">
        <v>45130</v>
      </c>
    </row>
    <row r="206" spans="1:1" x14ac:dyDescent="0.35">
      <c r="A206" s="2">
        <v>45131</v>
      </c>
    </row>
    <row r="207" spans="1:1" x14ac:dyDescent="0.35">
      <c r="A207" s="2">
        <v>45132</v>
      </c>
    </row>
    <row r="208" spans="1:1" x14ac:dyDescent="0.35">
      <c r="A208" s="2">
        <v>45133</v>
      </c>
    </row>
    <row r="209" spans="1:1" x14ac:dyDescent="0.35">
      <c r="A209" s="2">
        <v>45134</v>
      </c>
    </row>
    <row r="210" spans="1:1" x14ac:dyDescent="0.35">
      <c r="A210" s="2">
        <v>45135</v>
      </c>
    </row>
    <row r="211" spans="1:1" x14ac:dyDescent="0.35">
      <c r="A211" s="2">
        <v>45136</v>
      </c>
    </row>
    <row r="212" spans="1:1" x14ac:dyDescent="0.35">
      <c r="A212" s="2">
        <v>45137</v>
      </c>
    </row>
    <row r="213" spans="1:1" x14ac:dyDescent="0.35">
      <c r="A213" s="2">
        <v>45138</v>
      </c>
    </row>
    <row r="214" spans="1:1" x14ac:dyDescent="0.35">
      <c r="A214" s="2">
        <v>45139</v>
      </c>
    </row>
    <row r="215" spans="1:1" x14ac:dyDescent="0.35">
      <c r="A215" s="2">
        <v>45140</v>
      </c>
    </row>
    <row r="216" spans="1:1" x14ac:dyDescent="0.35">
      <c r="A216" s="2">
        <v>45141</v>
      </c>
    </row>
    <row r="217" spans="1:1" x14ac:dyDescent="0.35">
      <c r="A217" s="2">
        <v>45142</v>
      </c>
    </row>
    <row r="218" spans="1:1" x14ac:dyDescent="0.35">
      <c r="A218" s="2">
        <v>45143</v>
      </c>
    </row>
    <row r="219" spans="1:1" x14ac:dyDescent="0.35">
      <c r="A219" s="2">
        <v>45144</v>
      </c>
    </row>
    <row r="220" spans="1:1" x14ac:dyDescent="0.35">
      <c r="A220" s="2">
        <v>45145</v>
      </c>
    </row>
    <row r="221" spans="1:1" x14ac:dyDescent="0.35">
      <c r="A221" s="2">
        <v>45146</v>
      </c>
    </row>
    <row r="222" spans="1:1" x14ac:dyDescent="0.35">
      <c r="A222" s="2">
        <v>45147</v>
      </c>
    </row>
    <row r="223" spans="1:1" x14ac:dyDescent="0.35">
      <c r="A223" s="2">
        <v>45148</v>
      </c>
    </row>
    <row r="224" spans="1:1" x14ac:dyDescent="0.35">
      <c r="A224" s="2">
        <v>45149</v>
      </c>
    </row>
    <row r="225" spans="1:1" x14ac:dyDescent="0.35">
      <c r="A225" s="2">
        <v>45150</v>
      </c>
    </row>
    <row r="226" spans="1:1" x14ac:dyDescent="0.35">
      <c r="A226" s="2">
        <v>45151</v>
      </c>
    </row>
    <row r="227" spans="1:1" x14ac:dyDescent="0.35">
      <c r="A227" s="2">
        <v>45152</v>
      </c>
    </row>
    <row r="228" spans="1:1" x14ac:dyDescent="0.35">
      <c r="A228" s="2">
        <v>45153</v>
      </c>
    </row>
    <row r="229" spans="1:1" x14ac:dyDescent="0.35">
      <c r="A229" s="2">
        <v>45154</v>
      </c>
    </row>
    <row r="230" spans="1:1" x14ac:dyDescent="0.35">
      <c r="A230" s="2">
        <v>45155</v>
      </c>
    </row>
    <row r="231" spans="1:1" x14ac:dyDescent="0.35">
      <c r="A231" s="2">
        <v>45156</v>
      </c>
    </row>
    <row r="232" spans="1:1" x14ac:dyDescent="0.35">
      <c r="A232" s="2">
        <v>45157</v>
      </c>
    </row>
    <row r="233" spans="1:1" x14ac:dyDescent="0.35">
      <c r="A233" s="2">
        <v>45158</v>
      </c>
    </row>
    <row r="234" spans="1:1" x14ac:dyDescent="0.35">
      <c r="A234" s="2">
        <v>45159</v>
      </c>
    </row>
    <row r="235" spans="1:1" x14ac:dyDescent="0.35">
      <c r="A235" s="2">
        <v>45160</v>
      </c>
    </row>
    <row r="236" spans="1:1" x14ac:dyDescent="0.35">
      <c r="A236" s="2">
        <v>45161</v>
      </c>
    </row>
    <row r="237" spans="1:1" x14ac:dyDescent="0.35">
      <c r="A237" s="2">
        <v>45162</v>
      </c>
    </row>
    <row r="238" spans="1:1" x14ac:dyDescent="0.35">
      <c r="A238" s="2">
        <v>45163</v>
      </c>
    </row>
    <row r="239" spans="1:1" x14ac:dyDescent="0.35">
      <c r="A239" s="2">
        <v>45164</v>
      </c>
    </row>
    <row r="240" spans="1:1" x14ac:dyDescent="0.35">
      <c r="A240" s="2">
        <v>45165</v>
      </c>
    </row>
    <row r="241" spans="1:1" x14ac:dyDescent="0.35">
      <c r="A241" s="2">
        <v>45166</v>
      </c>
    </row>
    <row r="242" spans="1:1" x14ac:dyDescent="0.35">
      <c r="A242" s="2">
        <v>45167</v>
      </c>
    </row>
    <row r="243" spans="1:1" x14ac:dyDescent="0.35">
      <c r="A243" s="2">
        <v>45168</v>
      </c>
    </row>
    <row r="244" spans="1:1" x14ac:dyDescent="0.35">
      <c r="A244" s="2">
        <v>45169</v>
      </c>
    </row>
    <row r="245" spans="1:1" x14ac:dyDescent="0.35">
      <c r="A245" s="2">
        <v>45170</v>
      </c>
    </row>
    <row r="246" spans="1:1" x14ac:dyDescent="0.35">
      <c r="A246" s="2">
        <v>45171</v>
      </c>
    </row>
    <row r="247" spans="1:1" x14ac:dyDescent="0.35">
      <c r="A247" s="2">
        <v>45172</v>
      </c>
    </row>
    <row r="248" spans="1:1" x14ac:dyDescent="0.35">
      <c r="A248" s="2">
        <v>45173</v>
      </c>
    </row>
    <row r="249" spans="1:1" x14ac:dyDescent="0.35">
      <c r="A249" s="2">
        <v>45174</v>
      </c>
    </row>
    <row r="250" spans="1:1" x14ac:dyDescent="0.35">
      <c r="A250" s="2">
        <v>45175</v>
      </c>
    </row>
    <row r="251" spans="1:1" x14ac:dyDescent="0.35">
      <c r="A251" s="2">
        <v>45176</v>
      </c>
    </row>
    <row r="252" spans="1:1" x14ac:dyDescent="0.35">
      <c r="A252" s="2">
        <v>45177</v>
      </c>
    </row>
    <row r="253" spans="1:1" x14ac:dyDescent="0.35">
      <c r="A253" s="2">
        <v>45178</v>
      </c>
    </row>
    <row r="254" spans="1:1" x14ac:dyDescent="0.35">
      <c r="A254" s="2">
        <v>45179</v>
      </c>
    </row>
    <row r="255" spans="1:1" x14ac:dyDescent="0.35">
      <c r="A255" s="2">
        <v>45180</v>
      </c>
    </row>
    <row r="256" spans="1:1" x14ac:dyDescent="0.35">
      <c r="A256" s="2">
        <v>45181</v>
      </c>
    </row>
    <row r="257" spans="1:1" x14ac:dyDescent="0.35">
      <c r="A257" s="2">
        <v>45182</v>
      </c>
    </row>
    <row r="258" spans="1:1" x14ac:dyDescent="0.35">
      <c r="A258" s="2">
        <v>45183</v>
      </c>
    </row>
    <row r="259" spans="1:1" x14ac:dyDescent="0.35">
      <c r="A259" s="2">
        <v>45184</v>
      </c>
    </row>
    <row r="260" spans="1:1" x14ac:dyDescent="0.35">
      <c r="A260" s="2">
        <v>45185</v>
      </c>
    </row>
    <row r="261" spans="1:1" x14ac:dyDescent="0.35">
      <c r="A261" s="2">
        <v>45186</v>
      </c>
    </row>
    <row r="262" spans="1:1" x14ac:dyDescent="0.35">
      <c r="A262" s="2">
        <v>45187</v>
      </c>
    </row>
    <row r="263" spans="1:1" x14ac:dyDescent="0.35">
      <c r="A263" s="2">
        <v>45188</v>
      </c>
    </row>
    <row r="264" spans="1:1" x14ac:dyDescent="0.35">
      <c r="A264" s="2">
        <v>45189</v>
      </c>
    </row>
    <row r="265" spans="1:1" x14ac:dyDescent="0.35">
      <c r="A265" s="2">
        <v>45190</v>
      </c>
    </row>
    <row r="266" spans="1:1" x14ac:dyDescent="0.35">
      <c r="A266" s="2">
        <v>45191</v>
      </c>
    </row>
    <row r="267" spans="1:1" x14ac:dyDescent="0.35">
      <c r="A267" s="2">
        <v>45192</v>
      </c>
    </row>
    <row r="268" spans="1:1" x14ac:dyDescent="0.35">
      <c r="A268" s="2">
        <v>45193</v>
      </c>
    </row>
    <row r="269" spans="1:1" x14ac:dyDescent="0.35">
      <c r="A269" s="2">
        <v>45194</v>
      </c>
    </row>
    <row r="270" spans="1:1" x14ac:dyDescent="0.35">
      <c r="A270" s="2">
        <v>45195</v>
      </c>
    </row>
    <row r="271" spans="1:1" x14ac:dyDescent="0.35">
      <c r="A271" s="2">
        <v>45196</v>
      </c>
    </row>
    <row r="272" spans="1:1" x14ac:dyDescent="0.35">
      <c r="A272" s="2">
        <v>45197</v>
      </c>
    </row>
    <row r="273" spans="1:1" x14ac:dyDescent="0.35">
      <c r="A273" s="2">
        <v>45198</v>
      </c>
    </row>
    <row r="274" spans="1:1" x14ac:dyDescent="0.35">
      <c r="A274" s="2">
        <v>45199</v>
      </c>
    </row>
    <row r="275" spans="1:1" x14ac:dyDescent="0.35">
      <c r="A275" s="2">
        <v>45200</v>
      </c>
    </row>
    <row r="276" spans="1:1" x14ac:dyDescent="0.35">
      <c r="A276" s="2">
        <v>45201</v>
      </c>
    </row>
    <row r="277" spans="1:1" x14ac:dyDescent="0.35">
      <c r="A277" s="2">
        <v>45202</v>
      </c>
    </row>
    <row r="278" spans="1:1" x14ac:dyDescent="0.35">
      <c r="A278" s="2">
        <v>45203</v>
      </c>
    </row>
    <row r="279" spans="1:1" x14ac:dyDescent="0.35">
      <c r="A279" s="2">
        <v>45204</v>
      </c>
    </row>
    <row r="280" spans="1:1" x14ac:dyDescent="0.35">
      <c r="A280" s="2">
        <v>45205</v>
      </c>
    </row>
    <row r="281" spans="1:1" x14ac:dyDescent="0.35">
      <c r="A281" s="2">
        <v>45206</v>
      </c>
    </row>
    <row r="282" spans="1:1" x14ac:dyDescent="0.35">
      <c r="A282" s="2">
        <v>45207</v>
      </c>
    </row>
    <row r="283" spans="1:1" x14ac:dyDescent="0.35">
      <c r="A283" s="2">
        <v>45208</v>
      </c>
    </row>
    <row r="284" spans="1:1" x14ac:dyDescent="0.35">
      <c r="A284" s="2">
        <v>45209</v>
      </c>
    </row>
    <row r="285" spans="1:1" x14ac:dyDescent="0.35">
      <c r="A285" s="2">
        <v>45210</v>
      </c>
    </row>
    <row r="286" spans="1:1" x14ac:dyDescent="0.35">
      <c r="A286" s="2">
        <v>45211</v>
      </c>
    </row>
    <row r="287" spans="1:1" x14ac:dyDescent="0.35">
      <c r="A287" s="2">
        <v>45212</v>
      </c>
    </row>
    <row r="288" spans="1:1" x14ac:dyDescent="0.35">
      <c r="A288" s="2">
        <v>45213</v>
      </c>
    </row>
    <row r="289" spans="1:1" x14ac:dyDescent="0.35">
      <c r="A289" s="2">
        <v>45214</v>
      </c>
    </row>
    <row r="290" spans="1:1" x14ac:dyDescent="0.35">
      <c r="A290" s="2">
        <v>45215</v>
      </c>
    </row>
    <row r="291" spans="1:1" x14ac:dyDescent="0.35">
      <c r="A291" s="2">
        <v>45216</v>
      </c>
    </row>
    <row r="292" spans="1:1" x14ac:dyDescent="0.35">
      <c r="A292" s="2">
        <v>45217</v>
      </c>
    </row>
    <row r="293" spans="1:1" x14ac:dyDescent="0.35">
      <c r="A293" s="2">
        <v>45218</v>
      </c>
    </row>
    <row r="294" spans="1:1" x14ac:dyDescent="0.35">
      <c r="A294" s="2">
        <v>45219</v>
      </c>
    </row>
    <row r="295" spans="1:1" x14ac:dyDescent="0.35">
      <c r="A295" s="2">
        <v>45220</v>
      </c>
    </row>
    <row r="296" spans="1:1" x14ac:dyDescent="0.35">
      <c r="A296" s="2">
        <v>45221</v>
      </c>
    </row>
    <row r="297" spans="1:1" x14ac:dyDescent="0.35">
      <c r="A297" s="2">
        <v>45222</v>
      </c>
    </row>
    <row r="298" spans="1:1" x14ac:dyDescent="0.35">
      <c r="A298" s="2">
        <v>45223</v>
      </c>
    </row>
    <row r="299" spans="1:1" x14ac:dyDescent="0.35">
      <c r="A299" s="2">
        <v>45224</v>
      </c>
    </row>
    <row r="300" spans="1:1" x14ac:dyDescent="0.35">
      <c r="A300" s="2">
        <v>45225</v>
      </c>
    </row>
    <row r="301" spans="1:1" x14ac:dyDescent="0.35">
      <c r="A301" s="2">
        <v>45226</v>
      </c>
    </row>
    <row r="302" spans="1:1" x14ac:dyDescent="0.35">
      <c r="A302" s="2">
        <v>45227</v>
      </c>
    </row>
    <row r="303" spans="1:1" x14ac:dyDescent="0.35">
      <c r="A303" s="2">
        <v>45228</v>
      </c>
    </row>
    <row r="304" spans="1:1" x14ac:dyDescent="0.35">
      <c r="A304" s="2">
        <v>45229</v>
      </c>
    </row>
    <row r="305" spans="1:1" x14ac:dyDescent="0.35">
      <c r="A305" s="2">
        <v>45230</v>
      </c>
    </row>
    <row r="306" spans="1:1" x14ac:dyDescent="0.35">
      <c r="A306" s="2">
        <v>45231</v>
      </c>
    </row>
    <row r="307" spans="1:1" x14ac:dyDescent="0.35">
      <c r="A307" s="2">
        <v>45232</v>
      </c>
    </row>
    <row r="308" spans="1:1" x14ac:dyDescent="0.35">
      <c r="A308" s="2">
        <v>45233</v>
      </c>
    </row>
    <row r="309" spans="1:1" x14ac:dyDescent="0.35">
      <c r="A309" s="2">
        <v>45234</v>
      </c>
    </row>
    <row r="310" spans="1:1" x14ac:dyDescent="0.35">
      <c r="A310" s="2">
        <v>45235</v>
      </c>
    </row>
    <row r="311" spans="1:1" x14ac:dyDescent="0.35">
      <c r="A311" s="2">
        <v>45236</v>
      </c>
    </row>
    <row r="312" spans="1:1" x14ac:dyDescent="0.35">
      <c r="A312" s="2">
        <v>45237</v>
      </c>
    </row>
    <row r="313" spans="1:1" x14ac:dyDescent="0.35">
      <c r="A313" s="2">
        <v>45238</v>
      </c>
    </row>
    <row r="314" spans="1:1" x14ac:dyDescent="0.35">
      <c r="A314" s="2">
        <v>45239</v>
      </c>
    </row>
    <row r="315" spans="1:1" x14ac:dyDescent="0.35">
      <c r="A315" s="2">
        <v>45240</v>
      </c>
    </row>
    <row r="316" spans="1:1" x14ac:dyDescent="0.35">
      <c r="A316" s="2">
        <v>45241</v>
      </c>
    </row>
    <row r="317" spans="1:1" x14ac:dyDescent="0.35">
      <c r="A317" s="2">
        <v>45242</v>
      </c>
    </row>
    <row r="318" spans="1:1" x14ac:dyDescent="0.35">
      <c r="A318" s="2">
        <v>45243</v>
      </c>
    </row>
    <row r="319" spans="1:1" x14ac:dyDescent="0.35">
      <c r="A319" s="2">
        <v>45244</v>
      </c>
    </row>
    <row r="320" spans="1:1" x14ac:dyDescent="0.35">
      <c r="A320" s="2">
        <v>45245</v>
      </c>
    </row>
    <row r="321" spans="1:1" x14ac:dyDescent="0.35">
      <c r="A321" s="2">
        <v>45246</v>
      </c>
    </row>
    <row r="322" spans="1:1" x14ac:dyDescent="0.35">
      <c r="A322" s="2">
        <v>45247</v>
      </c>
    </row>
    <row r="323" spans="1:1" x14ac:dyDescent="0.35">
      <c r="A323" s="2">
        <v>45248</v>
      </c>
    </row>
    <row r="324" spans="1:1" x14ac:dyDescent="0.35">
      <c r="A324" s="2">
        <v>45249</v>
      </c>
    </row>
    <row r="325" spans="1:1" x14ac:dyDescent="0.35">
      <c r="A325" s="2">
        <v>45250</v>
      </c>
    </row>
    <row r="326" spans="1:1" x14ac:dyDescent="0.35">
      <c r="A326" s="2">
        <v>45251</v>
      </c>
    </row>
    <row r="327" spans="1:1" x14ac:dyDescent="0.35">
      <c r="A327" s="2">
        <v>45252</v>
      </c>
    </row>
    <row r="328" spans="1:1" x14ac:dyDescent="0.35">
      <c r="A328" s="2">
        <v>45253</v>
      </c>
    </row>
    <row r="329" spans="1:1" x14ac:dyDescent="0.35">
      <c r="A329" s="2">
        <v>45254</v>
      </c>
    </row>
    <row r="330" spans="1:1" x14ac:dyDescent="0.35">
      <c r="A330" s="2">
        <v>45255</v>
      </c>
    </row>
    <row r="331" spans="1:1" x14ac:dyDescent="0.35">
      <c r="A331" s="2">
        <v>45256</v>
      </c>
    </row>
    <row r="332" spans="1:1" x14ac:dyDescent="0.35">
      <c r="A332" s="2">
        <v>45257</v>
      </c>
    </row>
    <row r="333" spans="1:1" x14ac:dyDescent="0.35">
      <c r="A333" s="2">
        <v>45258</v>
      </c>
    </row>
    <row r="334" spans="1:1" x14ac:dyDescent="0.35">
      <c r="A334" s="2">
        <v>45259</v>
      </c>
    </row>
    <row r="335" spans="1:1" x14ac:dyDescent="0.35">
      <c r="A335" s="2">
        <v>45260</v>
      </c>
    </row>
    <row r="336" spans="1:1" x14ac:dyDescent="0.35">
      <c r="A336" s="2">
        <v>45261</v>
      </c>
    </row>
    <row r="337" spans="1:1" x14ac:dyDescent="0.35">
      <c r="A337" s="2">
        <v>45262</v>
      </c>
    </row>
    <row r="338" spans="1:1" x14ac:dyDescent="0.35">
      <c r="A338" s="2">
        <v>45263</v>
      </c>
    </row>
    <row r="339" spans="1:1" x14ac:dyDescent="0.35">
      <c r="A339" s="2">
        <v>45264</v>
      </c>
    </row>
    <row r="340" spans="1:1" x14ac:dyDescent="0.35">
      <c r="A340" s="2">
        <v>45265</v>
      </c>
    </row>
    <row r="341" spans="1:1" x14ac:dyDescent="0.35">
      <c r="A341" s="2">
        <v>45266</v>
      </c>
    </row>
    <row r="342" spans="1:1" x14ac:dyDescent="0.35">
      <c r="A342" s="2">
        <v>45267</v>
      </c>
    </row>
    <row r="343" spans="1:1" x14ac:dyDescent="0.35">
      <c r="A343" s="2">
        <v>45268</v>
      </c>
    </row>
    <row r="344" spans="1:1" x14ac:dyDescent="0.35">
      <c r="A344" s="2">
        <v>45269</v>
      </c>
    </row>
    <row r="345" spans="1:1" x14ac:dyDescent="0.35">
      <c r="A345" s="2">
        <v>45270</v>
      </c>
    </row>
    <row r="346" spans="1:1" x14ac:dyDescent="0.35">
      <c r="A346" s="2">
        <v>45271</v>
      </c>
    </row>
    <row r="347" spans="1:1" x14ac:dyDescent="0.35">
      <c r="A347" s="2">
        <v>45272</v>
      </c>
    </row>
    <row r="348" spans="1:1" x14ac:dyDescent="0.35">
      <c r="A348" s="2">
        <v>45273</v>
      </c>
    </row>
    <row r="349" spans="1:1" x14ac:dyDescent="0.35">
      <c r="A349" s="2">
        <v>45274</v>
      </c>
    </row>
    <row r="350" spans="1:1" x14ac:dyDescent="0.35">
      <c r="A350" s="2">
        <v>45275</v>
      </c>
    </row>
    <row r="351" spans="1:1" x14ac:dyDescent="0.35">
      <c r="A351" s="2">
        <v>45276</v>
      </c>
    </row>
    <row r="352" spans="1:1" x14ac:dyDescent="0.35">
      <c r="A352" s="2">
        <v>45277</v>
      </c>
    </row>
    <row r="353" spans="1:1" x14ac:dyDescent="0.35">
      <c r="A353" s="2">
        <v>45278</v>
      </c>
    </row>
    <row r="354" spans="1:1" x14ac:dyDescent="0.35">
      <c r="A354" s="2">
        <v>45279</v>
      </c>
    </row>
    <row r="355" spans="1:1" x14ac:dyDescent="0.35">
      <c r="A355" s="2">
        <v>45280</v>
      </c>
    </row>
    <row r="356" spans="1:1" x14ac:dyDescent="0.35">
      <c r="A356" s="2">
        <v>45281</v>
      </c>
    </row>
    <row r="357" spans="1:1" x14ac:dyDescent="0.35">
      <c r="A357" s="2">
        <v>45282</v>
      </c>
    </row>
    <row r="358" spans="1:1" x14ac:dyDescent="0.35">
      <c r="A358" s="2">
        <v>45283</v>
      </c>
    </row>
    <row r="359" spans="1:1" x14ac:dyDescent="0.35">
      <c r="A359" s="2">
        <v>45284</v>
      </c>
    </row>
    <row r="360" spans="1:1" x14ac:dyDescent="0.35">
      <c r="A360" s="2">
        <v>45285</v>
      </c>
    </row>
    <row r="361" spans="1:1" x14ac:dyDescent="0.35">
      <c r="A361" s="2">
        <v>45286</v>
      </c>
    </row>
    <row r="362" spans="1:1" x14ac:dyDescent="0.35">
      <c r="A362" s="2">
        <v>45287</v>
      </c>
    </row>
    <row r="363" spans="1:1" x14ac:dyDescent="0.35">
      <c r="A363" s="2">
        <v>45288</v>
      </c>
    </row>
    <row r="364" spans="1:1" x14ac:dyDescent="0.35">
      <c r="A364" s="2">
        <v>45289</v>
      </c>
    </row>
    <row r="365" spans="1:1" x14ac:dyDescent="0.35">
      <c r="A365" s="2">
        <v>45290</v>
      </c>
    </row>
    <row r="366" spans="1:1" x14ac:dyDescent="0.35">
      <c r="A366" s="2">
        <v>45291</v>
      </c>
    </row>
    <row r="367" spans="1:1" x14ac:dyDescent="0.35">
      <c r="A367" s="2">
        <v>45292</v>
      </c>
    </row>
    <row r="368" spans="1:1" x14ac:dyDescent="0.35">
      <c r="A368" s="2">
        <v>45293</v>
      </c>
    </row>
    <row r="369" spans="1:1" x14ac:dyDescent="0.35">
      <c r="A369" s="2">
        <v>45294</v>
      </c>
    </row>
    <row r="370" spans="1:1" x14ac:dyDescent="0.35">
      <c r="A370" s="2">
        <v>45295</v>
      </c>
    </row>
    <row r="371" spans="1:1" x14ac:dyDescent="0.35">
      <c r="A371" s="2">
        <v>45296</v>
      </c>
    </row>
    <row r="372" spans="1:1" x14ac:dyDescent="0.35">
      <c r="A372" s="2">
        <v>45297</v>
      </c>
    </row>
    <row r="373" spans="1:1" x14ac:dyDescent="0.35">
      <c r="A373" s="2">
        <v>45298</v>
      </c>
    </row>
    <row r="374" spans="1:1" x14ac:dyDescent="0.35">
      <c r="A374" s="2">
        <v>45299</v>
      </c>
    </row>
    <row r="375" spans="1:1" x14ac:dyDescent="0.35">
      <c r="A375" s="2">
        <v>45300</v>
      </c>
    </row>
    <row r="376" spans="1:1" x14ac:dyDescent="0.35">
      <c r="A376" s="2">
        <v>45301</v>
      </c>
    </row>
    <row r="377" spans="1:1" x14ac:dyDescent="0.35">
      <c r="A377" s="2">
        <v>45302</v>
      </c>
    </row>
    <row r="378" spans="1:1" x14ac:dyDescent="0.35">
      <c r="A378" s="2">
        <v>45303</v>
      </c>
    </row>
    <row r="379" spans="1:1" x14ac:dyDescent="0.35">
      <c r="A379" s="2">
        <v>45304</v>
      </c>
    </row>
    <row r="380" spans="1:1" x14ac:dyDescent="0.35">
      <c r="A380" s="2">
        <v>45305</v>
      </c>
    </row>
    <row r="381" spans="1:1" x14ac:dyDescent="0.35">
      <c r="A381" s="2">
        <v>45306</v>
      </c>
    </row>
    <row r="382" spans="1:1" x14ac:dyDescent="0.35">
      <c r="A382" s="2">
        <v>45307</v>
      </c>
    </row>
    <row r="383" spans="1:1" x14ac:dyDescent="0.35">
      <c r="A383" s="2">
        <v>45308</v>
      </c>
    </row>
    <row r="384" spans="1:1" x14ac:dyDescent="0.35">
      <c r="A384" s="2">
        <v>45309</v>
      </c>
    </row>
    <row r="385" spans="1:1" x14ac:dyDescent="0.35">
      <c r="A385" s="2">
        <v>45310</v>
      </c>
    </row>
    <row r="386" spans="1:1" x14ac:dyDescent="0.35">
      <c r="A386" s="2">
        <v>45311</v>
      </c>
    </row>
    <row r="387" spans="1:1" x14ac:dyDescent="0.35">
      <c r="A387" s="2">
        <v>45312</v>
      </c>
    </row>
    <row r="388" spans="1:1" x14ac:dyDescent="0.35">
      <c r="A388" s="2">
        <v>45313</v>
      </c>
    </row>
    <row r="389" spans="1:1" x14ac:dyDescent="0.35">
      <c r="A389" s="2">
        <v>45314</v>
      </c>
    </row>
    <row r="390" spans="1:1" x14ac:dyDescent="0.35">
      <c r="A390" s="2">
        <v>45315</v>
      </c>
    </row>
    <row r="391" spans="1:1" x14ac:dyDescent="0.35">
      <c r="A391" s="2">
        <v>45316</v>
      </c>
    </row>
    <row r="392" spans="1:1" x14ac:dyDescent="0.35">
      <c r="A392" s="2">
        <v>45317</v>
      </c>
    </row>
    <row r="393" spans="1:1" x14ac:dyDescent="0.35">
      <c r="A393" s="2">
        <v>45318</v>
      </c>
    </row>
    <row r="394" spans="1:1" x14ac:dyDescent="0.35">
      <c r="A394" s="2">
        <v>45319</v>
      </c>
    </row>
    <row r="395" spans="1:1" x14ac:dyDescent="0.35">
      <c r="A395" s="2">
        <v>45320</v>
      </c>
    </row>
    <row r="396" spans="1:1" x14ac:dyDescent="0.35">
      <c r="A396" s="2">
        <v>45321</v>
      </c>
    </row>
    <row r="397" spans="1:1" x14ac:dyDescent="0.35">
      <c r="A397" s="2">
        <v>45322</v>
      </c>
    </row>
    <row r="398" spans="1:1" x14ac:dyDescent="0.35">
      <c r="A398" s="2">
        <v>45323</v>
      </c>
    </row>
    <row r="399" spans="1:1" x14ac:dyDescent="0.35">
      <c r="A399" s="2">
        <v>45324</v>
      </c>
    </row>
    <row r="400" spans="1:1" x14ac:dyDescent="0.35">
      <c r="A400" s="2">
        <v>45325</v>
      </c>
    </row>
    <row r="401" spans="1:1" x14ac:dyDescent="0.35">
      <c r="A401" s="2">
        <v>45326</v>
      </c>
    </row>
    <row r="402" spans="1:1" x14ac:dyDescent="0.35">
      <c r="A402" s="2">
        <v>45327</v>
      </c>
    </row>
    <row r="403" spans="1:1" x14ac:dyDescent="0.35">
      <c r="A403" s="2">
        <v>45328</v>
      </c>
    </row>
    <row r="404" spans="1:1" x14ac:dyDescent="0.35">
      <c r="A404" s="2">
        <v>45329</v>
      </c>
    </row>
    <row r="405" spans="1:1" x14ac:dyDescent="0.35">
      <c r="A405" s="2">
        <v>45330</v>
      </c>
    </row>
    <row r="406" spans="1:1" x14ac:dyDescent="0.35">
      <c r="A406" s="2">
        <v>45331</v>
      </c>
    </row>
    <row r="407" spans="1:1" x14ac:dyDescent="0.35">
      <c r="A407" s="2">
        <v>45332</v>
      </c>
    </row>
    <row r="408" spans="1:1" x14ac:dyDescent="0.35">
      <c r="A408" s="2">
        <v>45333</v>
      </c>
    </row>
    <row r="409" spans="1:1" x14ac:dyDescent="0.35">
      <c r="A409" s="2">
        <v>45334</v>
      </c>
    </row>
    <row r="410" spans="1:1" x14ac:dyDescent="0.35">
      <c r="A410" s="2">
        <v>45335</v>
      </c>
    </row>
    <row r="411" spans="1:1" x14ac:dyDescent="0.35">
      <c r="A411" s="2">
        <v>45336</v>
      </c>
    </row>
    <row r="412" spans="1:1" x14ac:dyDescent="0.35">
      <c r="A412" s="2">
        <v>45337</v>
      </c>
    </row>
    <row r="413" spans="1:1" x14ac:dyDescent="0.35">
      <c r="A413" s="2">
        <v>45338</v>
      </c>
    </row>
    <row r="414" spans="1:1" x14ac:dyDescent="0.35">
      <c r="A414" s="2">
        <v>45339</v>
      </c>
    </row>
    <row r="415" spans="1:1" x14ac:dyDescent="0.35">
      <c r="A415" s="2">
        <v>45340</v>
      </c>
    </row>
    <row r="416" spans="1:1" x14ac:dyDescent="0.35">
      <c r="A416" s="2">
        <v>45341</v>
      </c>
    </row>
    <row r="417" spans="1:1" x14ac:dyDescent="0.35">
      <c r="A417" s="2">
        <v>45342</v>
      </c>
    </row>
    <row r="418" spans="1:1" x14ac:dyDescent="0.35">
      <c r="A418" s="2">
        <v>45343</v>
      </c>
    </row>
    <row r="419" spans="1:1" x14ac:dyDescent="0.35">
      <c r="A419" s="2">
        <v>45344</v>
      </c>
    </row>
    <row r="420" spans="1:1" x14ac:dyDescent="0.35">
      <c r="A420" s="2">
        <v>45345</v>
      </c>
    </row>
    <row r="421" spans="1:1" x14ac:dyDescent="0.35">
      <c r="A421" s="2">
        <v>45346</v>
      </c>
    </row>
    <row r="422" spans="1:1" x14ac:dyDescent="0.35">
      <c r="A422" s="2">
        <v>45347</v>
      </c>
    </row>
    <row r="423" spans="1:1" x14ac:dyDescent="0.35">
      <c r="A423" s="2">
        <v>45348</v>
      </c>
    </row>
    <row r="424" spans="1:1" x14ac:dyDescent="0.35">
      <c r="A424" s="2">
        <v>45349</v>
      </c>
    </row>
    <row r="425" spans="1:1" x14ac:dyDescent="0.35">
      <c r="A425" s="2">
        <v>45350</v>
      </c>
    </row>
    <row r="426" spans="1:1" x14ac:dyDescent="0.35">
      <c r="A426" s="2">
        <v>45351</v>
      </c>
    </row>
    <row r="427" spans="1:1" x14ac:dyDescent="0.35">
      <c r="A427" s="2">
        <v>45352</v>
      </c>
    </row>
    <row r="428" spans="1:1" x14ac:dyDescent="0.35">
      <c r="A428" s="2">
        <v>45353</v>
      </c>
    </row>
    <row r="429" spans="1:1" x14ac:dyDescent="0.35">
      <c r="A429" s="2">
        <v>45354</v>
      </c>
    </row>
    <row r="430" spans="1:1" x14ac:dyDescent="0.35">
      <c r="A430" s="2">
        <v>45355</v>
      </c>
    </row>
    <row r="431" spans="1:1" x14ac:dyDescent="0.35">
      <c r="A431" s="2">
        <v>45356</v>
      </c>
    </row>
    <row r="432" spans="1:1" x14ac:dyDescent="0.35">
      <c r="A432" s="2">
        <v>45357</v>
      </c>
    </row>
    <row r="433" spans="1:1" x14ac:dyDescent="0.35">
      <c r="A433" s="2">
        <v>45358</v>
      </c>
    </row>
    <row r="434" spans="1:1" x14ac:dyDescent="0.35">
      <c r="A434" s="2">
        <v>45359</v>
      </c>
    </row>
    <row r="435" spans="1:1" x14ac:dyDescent="0.35">
      <c r="A435" s="2">
        <v>45360</v>
      </c>
    </row>
    <row r="436" spans="1:1" x14ac:dyDescent="0.35">
      <c r="A436" s="2">
        <v>45361</v>
      </c>
    </row>
    <row r="437" spans="1:1" x14ac:dyDescent="0.35">
      <c r="A437" s="2">
        <v>45362</v>
      </c>
    </row>
    <row r="438" spans="1:1" x14ac:dyDescent="0.35">
      <c r="A438" s="2">
        <v>45363</v>
      </c>
    </row>
    <row r="439" spans="1:1" x14ac:dyDescent="0.35">
      <c r="A439" s="2">
        <v>45364</v>
      </c>
    </row>
    <row r="440" spans="1:1" x14ac:dyDescent="0.35">
      <c r="A440" s="2">
        <v>45365</v>
      </c>
    </row>
    <row r="441" spans="1:1" x14ac:dyDescent="0.35">
      <c r="A441" s="2">
        <v>45366</v>
      </c>
    </row>
    <row r="442" spans="1:1" x14ac:dyDescent="0.35">
      <c r="A442" s="2">
        <v>45367</v>
      </c>
    </row>
    <row r="443" spans="1:1" x14ac:dyDescent="0.35">
      <c r="A443" s="2">
        <v>45368</v>
      </c>
    </row>
    <row r="444" spans="1:1" x14ac:dyDescent="0.35">
      <c r="A444" s="2">
        <v>45369</v>
      </c>
    </row>
    <row r="445" spans="1:1" x14ac:dyDescent="0.35">
      <c r="A445" s="2">
        <v>45370</v>
      </c>
    </row>
    <row r="446" spans="1:1" x14ac:dyDescent="0.35">
      <c r="A446" s="2">
        <v>45371</v>
      </c>
    </row>
    <row r="447" spans="1:1" x14ac:dyDescent="0.35">
      <c r="A447" s="2">
        <v>45372</v>
      </c>
    </row>
    <row r="448" spans="1:1" x14ac:dyDescent="0.35">
      <c r="A448" s="2">
        <v>45373</v>
      </c>
    </row>
    <row r="449" spans="1:1" x14ac:dyDescent="0.35">
      <c r="A449" s="2">
        <v>45374</v>
      </c>
    </row>
    <row r="450" spans="1:1" x14ac:dyDescent="0.35">
      <c r="A450" s="2">
        <v>45375</v>
      </c>
    </row>
    <row r="451" spans="1:1" x14ac:dyDescent="0.35">
      <c r="A451" s="2">
        <v>45376</v>
      </c>
    </row>
    <row r="452" spans="1:1" x14ac:dyDescent="0.35">
      <c r="A452" s="2">
        <v>45377</v>
      </c>
    </row>
    <row r="453" spans="1:1" x14ac:dyDescent="0.35">
      <c r="A453" s="2">
        <v>45378</v>
      </c>
    </row>
    <row r="454" spans="1:1" x14ac:dyDescent="0.35">
      <c r="A454" s="2">
        <v>45379</v>
      </c>
    </row>
    <row r="455" spans="1:1" x14ac:dyDescent="0.35">
      <c r="A455" s="2">
        <v>45380</v>
      </c>
    </row>
    <row r="456" spans="1:1" x14ac:dyDescent="0.35">
      <c r="A456" s="2">
        <v>45381</v>
      </c>
    </row>
    <row r="457" spans="1:1" x14ac:dyDescent="0.35">
      <c r="A457" s="2">
        <v>45382</v>
      </c>
    </row>
    <row r="458" spans="1:1" x14ac:dyDescent="0.35">
      <c r="A458" s="2">
        <v>45383</v>
      </c>
    </row>
    <row r="459" spans="1:1" x14ac:dyDescent="0.35">
      <c r="A459" s="2">
        <v>45384</v>
      </c>
    </row>
    <row r="460" spans="1:1" x14ac:dyDescent="0.35">
      <c r="A460" s="2">
        <v>45385</v>
      </c>
    </row>
    <row r="461" spans="1:1" x14ac:dyDescent="0.35">
      <c r="A461" s="2">
        <v>45386</v>
      </c>
    </row>
    <row r="462" spans="1:1" x14ac:dyDescent="0.35">
      <c r="A462" s="2">
        <v>45387</v>
      </c>
    </row>
    <row r="463" spans="1:1" x14ac:dyDescent="0.35">
      <c r="A463" s="2">
        <v>45388</v>
      </c>
    </row>
    <row r="464" spans="1:1" x14ac:dyDescent="0.35">
      <c r="A464" s="2">
        <v>45389</v>
      </c>
    </row>
    <row r="465" spans="1:1" x14ac:dyDescent="0.35">
      <c r="A465" s="2">
        <v>45390</v>
      </c>
    </row>
    <row r="466" spans="1:1" x14ac:dyDescent="0.35">
      <c r="A466" s="2">
        <v>45391</v>
      </c>
    </row>
    <row r="467" spans="1:1" x14ac:dyDescent="0.35">
      <c r="A467" s="2">
        <v>45392</v>
      </c>
    </row>
    <row r="468" spans="1:1" x14ac:dyDescent="0.35">
      <c r="A468" s="2">
        <v>45393</v>
      </c>
    </row>
    <row r="469" spans="1:1" x14ac:dyDescent="0.35">
      <c r="A469" s="2">
        <v>45394</v>
      </c>
    </row>
    <row r="470" spans="1:1" x14ac:dyDescent="0.35">
      <c r="A470" s="2">
        <v>45395</v>
      </c>
    </row>
    <row r="471" spans="1:1" x14ac:dyDescent="0.35">
      <c r="A471" s="2">
        <v>45396</v>
      </c>
    </row>
    <row r="472" spans="1:1" x14ac:dyDescent="0.35">
      <c r="A472" s="2">
        <v>45397</v>
      </c>
    </row>
    <row r="473" spans="1:1" x14ac:dyDescent="0.35">
      <c r="A473" s="2">
        <v>45398</v>
      </c>
    </row>
    <row r="474" spans="1:1" x14ac:dyDescent="0.35">
      <c r="A474" s="2">
        <v>45399</v>
      </c>
    </row>
    <row r="475" spans="1:1" x14ac:dyDescent="0.35">
      <c r="A475" s="2">
        <v>45400</v>
      </c>
    </row>
    <row r="476" spans="1:1" x14ac:dyDescent="0.35">
      <c r="A476" s="2">
        <v>45401</v>
      </c>
    </row>
    <row r="477" spans="1:1" x14ac:dyDescent="0.35">
      <c r="A477" s="2">
        <v>45402</v>
      </c>
    </row>
    <row r="478" spans="1:1" x14ac:dyDescent="0.35">
      <c r="A478" s="2">
        <v>45403</v>
      </c>
    </row>
    <row r="479" spans="1:1" x14ac:dyDescent="0.35">
      <c r="A479" s="2">
        <v>45404</v>
      </c>
    </row>
    <row r="480" spans="1:1" x14ac:dyDescent="0.35">
      <c r="A480" s="2">
        <v>45405</v>
      </c>
    </row>
    <row r="481" spans="1:1" x14ac:dyDescent="0.35">
      <c r="A481" s="2">
        <v>45406</v>
      </c>
    </row>
    <row r="482" spans="1:1" x14ac:dyDescent="0.35">
      <c r="A482" s="2">
        <v>45407</v>
      </c>
    </row>
    <row r="483" spans="1:1" x14ac:dyDescent="0.35">
      <c r="A483" s="2">
        <v>45408</v>
      </c>
    </row>
    <row r="484" spans="1:1" x14ac:dyDescent="0.35">
      <c r="A484" s="2">
        <v>45409</v>
      </c>
    </row>
    <row r="485" spans="1:1" x14ac:dyDescent="0.35">
      <c r="A485" s="2">
        <v>45410</v>
      </c>
    </row>
    <row r="486" spans="1:1" x14ac:dyDescent="0.35">
      <c r="A486" s="2">
        <v>45411</v>
      </c>
    </row>
    <row r="487" spans="1:1" x14ac:dyDescent="0.35">
      <c r="A487" s="2">
        <v>45412</v>
      </c>
    </row>
    <row r="488" spans="1:1" x14ac:dyDescent="0.35">
      <c r="A488" s="2">
        <v>45413</v>
      </c>
    </row>
    <row r="489" spans="1:1" x14ac:dyDescent="0.35">
      <c r="A489" s="2">
        <v>45414</v>
      </c>
    </row>
    <row r="490" spans="1:1" x14ac:dyDescent="0.35">
      <c r="A490" s="2">
        <v>45415</v>
      </c>
    </row>
    <row r="491" spans="1:1" x14ac:dyDescent="0.35">
      <c r="A491" s="2">
        <v>45416</v>
      </c>
    </row>
    <row r="492" spans="1:1" x14ac:dyDescent="0.35">
      <c r="A492" s="2">
        <v>45417</v>
      </c>
    </row>
    <row r="493" spans="1:1" x14ac:dyDescent="0.35">
      <c r="A493" s="2">
        <v>45418</v>
      </c>
    </row>
    <row r="494" spans="1:1" x14ac:dyDescent="0.35">
      <c r="A494" s="2">
        <v>45419</v>
      </c>
    </row>
    <row r="495" spans="1:1" x14ac:dyDescent="0.35">
      <c r="A495" s="2">
        <v>45420</v>
      </c>
    </row>
    <row r="496" spans="1:1" x14ac:dyDescent="0.35">
      <c r="A496" s="2">
        <v>45421</v>
      </c>
    </row>
    <row r="497" spans="1:1" x14ac:dyDescent="0.35">
      <c r="A497" s="2">
        <v>45422</v>
      </c>
    </row>
    <row r="498" spans="1:1" x14ac:dyDescent="0.35">
      <c r="A498" s="2">
        <v>45423</v>
      </c>
    </row>
    <row r="499" spans="1:1" x14ac:dyDescent="0.35">
      <c r="A499" s="2">
        <v>45424</v>
      </c>
    </row>
    <row r="500" spans="1:1" x14ac:dyDescent="0.35">
      <c r="A500" s="2">
        <v>45425</v>
      </c>
    </row>
    <row r="501" spans="1:1" x14ac:dyDescent="0.35">
      <c r="A501" s="2">
        <v>45426</v>
      </c>
    </row>
    <row r="502" spans="1:1" x14ac:dyDescent="0.35">
      <c r="A502" s="2">
        <v>45427</v>
      </c>
    </row>
    <row r="503" spans="1:1" x14ac:dyDescent="0.35">
      <c r="A503" s="2">
        <v>45428</v>
      </c>
    </row>
    <row r="504" spans="1:1" x14ac:dyDescent="0.35">
      <c r="A504" s="2">
        <v>45429</v>
      </c>
    </row>
    <row r="505" spans="1:1" x14ac:dyDescent="0.35">
      <c r="A505" s="2">
        <v>45430</v>
      </c>
    </row>
    <row r="506" spans="1:1" x14ac:dyDescent="0.35">
      <c r="A506" s="2">
        <v>45431</v>
      </c>
    </row>
    <row r="507" spans="1:1" x14ac:dyDescent="0.35">
      <c r="A507" s="2">
        <v>45432</v>
      </c>
    </row>
    <row r="508" spans="1:1" x14ac:dyDescent="0.35">
      <c r="A508" s="2">
        <v>45433</v>
      </c>
    </row>
    <row r="509" spans="1:1" x14ac:dyDescent="0.35">
      <c r="A509" s="2">
        <v>45434</v>
      </c>
    </row>
    <row r="510" spans="1:1" x14ac:dyDescent="0.35">
      <c r="A510" s="2">
        <v>45435</v>
      </c>
    </row>
    <row r="511" spans="1:1" x14ac:dyDescent="0.35">
      <c r="A511" s="2">
        <v>45436</v>
      </c>
    </row>
    <row r="512" spans="1:1" x14ac:dyDescent="0.35">
      <c r="A512" s="2">
        <v>45437</v>
      </c>
    </row>
    <row r="513" spans="1:1" x14ac:dyDescent="0.35">
      <c r="A513" s="2">
        <v>45438</v>
      </c>
    </row>
    <row r="514" spans="1:1" x14ac:dyDescent="0.35">
      <c r="A514" s="2">
        <v>45439</v>
      </c>
    </row>
    <row r="515" spans="1:1" x14ac:dyDescent="0.35">
      <c r="A515" s="2">
        <v>45440</v>
      </c>
    </row>
    <row r="516" spans="1:1" x14ac:dyDescent="0.35">
      <c r="A516" s="2">
        <v>45441</v>
      </c>
    </row>
    <row r="517" spans="1:1" x14ac:dyDescent="0.35">
      <c r="A517" s="2">
        <v>45442</v>
      </c>
    </row>
    <row r="518" spans="1:1" x14ac:dyDescent="0.35">
      <c r="A518" s="2">
        <v>45443</v>
      </c>
    </row>
    <row r="519" spans="1:1" x14ac:dyDescent="0.35">
      <c r="A519" s="2">
        <v>45444</v>
      </c>
    </row>
    <row r="520" spans="1:1" x14ac:dyDescent="0.35">
      <c r="A520" s="2">
        <v>45445</v>
      </c>
    </row>
    <row r="521" spans="1:1" x14ac:dyDescent="0.35">
      <c r="A521" s="2">
        <v>45446</v>
      </c>
    </row>
    <row r="522" spans="1:1" x14ac:dyDescent="0.35">
      <c r="A522" s="2">
        <v>45447</v>
      </c>
    </row>
    <row r="523" spans="1:1" x14ac:dyDescent="0.35">
      <c r="A523" s="2">
        <v>45448</v>
      </c>
    </row>
    <row r="524" spans="1:1" x14ac:dyDescent="0.35">
      <c r="A524" s="2">
        <v>45449</v>
      </c>
    </row>
    <row r="525" spans="1:1" x14ac:dyDescent="0.35">
      <c r="A525" s="2">
        <v>45450</v>
      </c>
    </row>
    <row r="526" spans="1:1" x14ac:dyDescent="0.35">
      <c r="A526" s="2">
        <v>45451</v>
      </c>
    </row>
    <row r="527" spans="1:1" x14ac:dyDescent="0.35">
      <c r="A527" s="2">
        <v>45452</v>
      </c>
    </row>
    <row r="528" spans="1:1" x14ac:dyDescent="0.35">
      <c r="A528" s="2">
        <v>45453</v>
      </c>
    </row>
    <row r="529" spans="1:1" x14ac:dyDescent="0.35">
      <c r="A529" s="2">
        <v>45454</v>
      </c>
    </row>
    <row r="530" spans="1:1" x14ac:dyDescent="0.35">
      <c r="A530" s="2">
        <v>45455</v>
      </c>
    </row>
    <row r="531" spans="1:1" x14ac:dyDescent="0.35">
      <c r="A531" s="2">
        <v>45456</v>
      </c>
    </row>
    <row r="532" spans="1:1" x14ac:dyDescent="0.35">
      <c r="A532" s="2">
        <v>45457</v>
      </c>
    </row>
    <row r="533" spans="1:1" x14ac:dyDescent="0.35">
      <c r="A533" s="2">
        <v>45458</v>
      </c>
    </row>
    <row r="534" spans="1:1" x14ac:dyDescent="0.35">
      <c r="A534" s="2">
        <v>45459</v>
      </c>
    </row>
    <row r="535" spans="1:1" x14ac:dyDescent="0.35">
      <c r="A535" s="2">
        <v>45460</v>
      </c>
    </row>
    <row r="536" spans="1:1" x14ac:dyDescent="0.35">
      <c r="A536" s="2">
        <v>45461</v>
      </c>
    </row>
    <row r="537" spans="1:1" x14ac:dyDescent="0.35">
      <c r="A537" s="2">
        <v>45462</v>
      </c>
    </row>
    <row r="538" spans="1:1" x14ac:dyDescent="0.35">
      <c r="A538" s="2">
        <v>45463</v>
      </c>
    </row>
    <row r="539" spans="1:1" x14ac:dyDescent="0.35">
      <c r="A539" s="2">
        <v>45464</v>
      </c>
    </row>
    <row r="540" spans="1:1" x14ac:dyDescent="0.35">
      <c r="A540" s="2">
        <v>45465</v>
      </c>
    </row>
    <row r="541" spans="1:1" x14ac:dyDescent="0.35">
      <c r="A541" s="2">
        <v>45466</v>
      </c>
    </row>
    <row r="542" spans="1:1" x14ac:dyDescent="0.35">
      <c r="A542" s="2">
        <v>45467</v>
      </c>
    </row>
    <row r="543" spans="1:1" x14ac:dyDescent="0.35">
      <c r="A543" s="2">
        <v>45468</v>
      </c>
    </row>
    <row r="544" spans="1:1" x14ac:dyDescent="0.35">
      <c r="A544" s="2">
        <v>45469</v>
      </c>
    </row>
    <row r="545" spans="1:1" x14ac:dyDescent="0.35">
      <c r="A545" s="2">
        <v>45470</v>
      </c>
    </row>
    <row r="546" spans="1:1" x14ac:dyDescent="0.35">
      <c r="A546" s="2">
        <v>45471</v>
      </c>
    </row>
    <row r="547" spans="1:1" x14ac:dyDescent="0.35">
      <c r="A547" s="2">
        <v>45472</v>
      </c>
    </row>
    <row r="548" spans="1:1" x14ac:dyDescent="0.35">
      <c r="A548" s="2">
        <v>45473</v>
      </c>
    </row>
    <row r="549" spans="1:1" x14ac:dyDescent="0.35">
      <c r="A549" s="2">
        <v>45474</v>
      </c>
    </row>
    <row r="550" spans="1:1" x14ac:dyDescent="0.35">
      <c r="A550" s="2">
        <v>45475</v>
      </c>
    </row>
    <row r="551" spans="1:1" x14ac:dyDescent="0.35">
      <c r="A551" s="2">
        <v>45476</v>
      </c>
    </row>
    <row r="552" spans="1:1" x14ac:dyDescent="0.35">
      <c r="A552" s="2">
        <v>45477</v>
      </c>
    </row>
    <row r="553" spans="1:1" x14ac:dyDescent="0.35">
      <c r="A553" s="2">
        <v>45478</v>
      </c>
    </row>
    <row r="554" spans="1:1" x14ac:dyDescent="0.35">
      <c r="A554" s="2">
        <v>45479</v>
      </c>
    </row>
    <row r="555" spans="1:1" x14ac:dyDescent="0.35">
      <c r="A555" s="2">
        <v>45480</v>
      </c>
    </row>
    <row r="556" spans="1:1" x14ac:dyDescent="0.35">
      <c r="A556" s="2">
        <v>45481</v>
      </c>
    </row>
    <row r="557" spans="1:1" x14ac:dyDescent="0.35">
      <c r="A557" s="2">
        <v>45482</v>
      </c>
    </row>
    <row r="558" spans="1:1" x14ac:dyDescent="0.35">
      <c r="A558" s="2">
        <v>45483</v>
      </c>
    </row>
    <row r="559" spans="1:1" x14ac:dyDescent="0.35">
      <c r="A559" s="2">
        <v>45484</v>
      </c>
    </row>
    <row r="560" spans="1:1" x14ac:dyDescent="0.35">
      <c r="A560" s="2">
        <v>45485</v>
      </c>
    </row>
    <row r="561" spans="1:1" x14ac:dyDescent="0.35">
      <c r="A561" s="2">
        <v>45486</v>
      </c>
    </row>
    <row r="562" spans="1:1" x14ac:dyDescent="0.35">
      <c r="A562" s="2">
        <v>45487</v>
      </c>
    </row>
    <row r="563" spans="1:1" x14ac:dyDescent="0.35">
      <c r="A563" s="2">
        <v>45488</v>
      </c>
    </row>
    <row r="564" spans="1:1" x14ac:dyDescent="0.35">
      <c r="A564" s="2">
        <v>45489</v>
      </c>
    </row>
    <row r="565" spans="1:1" x14ac:dyDescent="0.35">
      <c r="A565" s="2">
        <v>45490</v>
      </c>
    </row>
    <row r="566" spans="1:1" x14ac:dyDescent="0.35">
      <c r="A566" s="2">
        <v>45491</v>
      </c>
    </row>
    <row r="567" spans="1:1" x14ac:dyDescent="0.35">
      <c r="A567" s="2">
        <v>45492</v>
      </c>
    </row>
    <row r="568" spans="1:1" x14ac:dyDescent="0.35">
      <c r="A568" s="2">
        <v>45493</v>
      </c>
    </row>
    <row r="569" spans="1:1" x14ac:dyDescent="0.35">
      <c r="A569" s="2">
        <v>45494</v>
      </c>
    </row>
    <row r="570" spans="1:1" x14ac:dyDescent="0.35">
      <c r="A570" s="2">
        <v>45495</v>
      </c>
    </row>
    <row r="571" spans="1:1" x14ac:dyDescent="0.35">
      <c r="A571" s="2">
        <v>45496</v>
      </c>
    </row>
    <row r="572" spans="1:1" x14ac:dyDescent="0.35">
      <c r="A572" s="2">
        <v>45497</v>
      </c>
    </row>
    <row r="573" spans="1:1" x14ac:dyDescent="0.35">
      <c r="A573" s="2">
        <v>45498</v>
      </c>
    </row>
    <row r="574" spans="1:1" x14ac:dyDescent="0.35">
      <c r="A574" s="2">
        <v>45499</v>
      </c>
    </row>
    <row r="575" spans="1:1" x14ac:dyDescent="0.35">
      <c r="A575" s="2">
        <v>45500</v>
      </c>
    </row>
    <row r="576" spans="1:1" x14ac:dyDescent="0.35">
      <c r="A576" s="2">
        <v>45501</v>
      </c>
    </row>
    <row r="577" spans="1:1" x14ac:dyDescent="0.35">
      <c r="A577" s="2">
        <v>45502</v>
      </c>
    </row>
    <row r="578" spans="1:1" x14ac:dyDescent="0.35">
      <c r="A578" s="2">
        <v>45503</v>
      </c>
    </row>
    <row r="579" spans="1:1" x14ac:dyDescent="0.35">
      <c r="A579" s="2">
        <v>45504</v>
      </c>
    </row>
    <row r="580" spans="1:1" x14ac:dyDescent="0.35">
      <c r="A580" s="2">
        <v>45505</v>
      </c>
    </row>
    <row r="581" spans="1:1" x14ac:dyDescent="0.35">
      <c r="A581" s="2">
        <v>45506</v>
      </c>
    </row>
    <row r="582" spans="1:1" x14ac:dyDescent="0.35">
      <c r="A582" s="2">
        <v>45507</v>
      </c>
    </row>
    <row r="583" spans="1:1" x14ac:dyDescent="0.35">
      <c r="A583" s="2">
        <v>45508</v>
      </c>
    </row>
    <row r="584" spans="1:1" x14ac:dyDescent="0.35">
      <c r="A584" s="2">
        <v>45509</v>
      </c>
    </row>
    <row r="585" spans="1:1" x14ac:dyDescent="0.35">
      <c r="A585" s="2">
        <v>45510</v>
      </c>
    </row>
    <row r="586" spans="1:1" x14ac:dyDescent="0.35">
      <c r="A586" s="2">
        <v>45511</v>
      </c>
    </row>
    <row r="587" spans="1:1" x14ac:dyDescent="0.35">
      <c r="A587" s="2">
        <v>45512</v>
      </c>
    </row>
    <row r="588" spans="1:1" x14ac:dyDescent="0.35">
      <c r="A588" s="2">
        <v>45513</v>
      </c>
    </row>
    <row r="589" spans="1:1" x14ac:dyDescent="0.35">
      <c r="A589" s="2">
        <v>45514</v>
      </c>
    </row>
    <row r="590" spans="1:1" x14ac:dyDescent="0.35">
      <c r="A590" s="2">
        <v>45515</v>
      </c>
    </row>
    <row r="591" spans="1:1" x14ac:dyDescent="0.35">
      <c r="A591" s="2">
        <v>45516</v>
      </c>
    </row>
    <row r="592" spans="1:1" x14ac:dyDescent="0.35">
      <c r="A592" s="2">
        <v>45517</v>
      </c>
    </row>
    <row r="593" spans="1:1" x14ac:dyDescent="0.35">
      <c r="A593" s="2">
        <v>45518</v>
      </c>
    </row>
    <row r="594" spans="1:1" x14ac:dyDescent="0.35">
      <c r="A594" s="2">
        <v>45519</v>
      </c>
    </row>
    <row r="595" spans="1:1" x14ac:dyDescent="0.35">
      <c r="A595" s="2">
        <v>45520</v>
      </c>
    </row>
    <row r="596" spans="1:1" x14ac:dyDescent="0.35">
      <c r="A596" s="2">
        <v>45521</v>
      </c>
    </row>
    <row r="597" spans="1:1" x14ac:dyDescent="0.35">
      <c r="A597" s="2">
        <v>45522</v>
      </c>
    </row>
    <row r="598" spans="1:1" x14ac:dyDescent="0.35">
      <c r="A598" s="2">
        <v>45523</v>
      </c>
    </row>
    <row r="599" spans="1:1" x14ac:dyDescent="0.35">
      <c r="A599" s="2">
        <v>45524</v>
      </c>
    </row>
    <row r="600" spans="1:1" x14ac:dyDescent="0.35">
      <c r="A600" s="2">
        <v>45525</v>
      </c>
    </row>
    <row r="601" spans="1:1" x14ac:dyDescent="0.35">
      <c r="A601" s="2">
        <v>45526</v>
      </c>
    </row>
    <row r="602" spans="1:1" x14ac:dyDescent="0.35">
      <c r="A602" s="2">
        <v>45527</v>
      </c>
    </row>
    <row r="603" spans="1:1" x14ac:dyDescent="0.35">
      <c r="A603" s="2">
        <v>45528</v>
      </c>
    </row>
    <row r="604" spans="1:1" x14ac:dyDescent="0.35">
      <c r="A604" s="2">
        <v>45529</v>
      </c>
    </row>
    <row r="605" spans="1:1" x14ac:dyDescent="0.35">
      <c r="A605" s="2">
        <v>45530</v>
      </c>
    </row>
    <row r="606" spans="1:1" x14ac:dyDescent="0.35">
      <c r="A606" s="2">
        <v>45531</v>
      </c>
    </row>
    <row r="607" spans="1:1" x14ac:dyDescent="0.35">
      <c r="A607" s="2">
        <v>45532</v>
      </c>
    </row>
    <row r="608" spans="1:1" x14ac:dyDescent="0.35">
      <c r="A608" s="2">
        <v>45533</v>
      </c>
    </row>
    <row r="609" spans="1:1" x14ac:dyDescent="0.35">
      <c r="A609" s="2">
        <v>45534</v>
      </c>
    </row>
    <row r="610" spans="1:1" x14ac:dyDescent="0.35">
      <c r="A610" s="2">
        <v>45535</v>
      </c>
    </row>
    <row r="611" spans="1:1" x14ac:dyDescent="0.35">
      <c r="A611" s="2">
        <v>45536</v>
      </c>
    </row>
    <row r="612" spans="1:1" x14ac:dyDescent="0.35">
      <c r="A612" s="2">
        <v>45537</v>
      </c>
    </row>
    <row r="613" spans="1:1" x14ac:dyDescent="0.35">
      <c r="A613" s="2">
        <v>45538</v>
      </c>
    </row>
    <row r="614" spans="1:1" x14ac:dyDescent="0.35">
      <c r="A614" s="2">
        <v>45539</v>
      </c>
    </row>
    <row r="615" spans="1:1" x14ac:dyDescent="0.35">
      <c r="A615" s="2">
        <v>45540</v>
      </c>
    </row>
    <row r="616" spans="1:1" x14ac:dyDescent="0.35">
      <c r="A616" s="2">
        <v>45541</v>
      </c>
    </row>
    <row r="617" spans="1:1" x14ac:dyDescent="0.35">
      <c r="A617" s="2">
        <v>45542</v>
      </c>
    </row>
    <row r="618" spans="1:1" x14ac:dyDescent="0.35">
      <c r="A618" s="2">
        <v>45543</v>
      </c>
    </row>
    <row r="619" spans="1:1" x14ac:dyDescent="0.35">
      <c r="A619" s="2">
        <v>45544</v>
      </c>
    </row>
    <row r="620" spans="1:1" x14ac:dyDescent="0.35">
      <c r="A620" s="2">
        <v>45545</v>
      </c>
    </row>
    <row r="621" spans="1:1" x14ac:dyDescent="0.35">
      <c r="A621" s="2">
        <v>45546</v>
      </c>
    </row>
    <row r="622" spans="1:1" x14ac:dyDescent="0.35">
      <c r="A622" s="2">
        <v>45547</v>
      </c>
    </row>
    <row r="623" spans="1:1" x14ac:dyDescent="0.35">
      <c r="A623" s="2">
        <v>45548</v>
      </c>
    </row>
    <row r="624" spans="1:1" x14ac:dyDescent="0.35">
      <c r="A624" s="2">
        <v>45549</v>
      </c>
    </row>
    <row r="625" spans="1:1" x14ac:dyDescent="0.35">
      <c r="A625" s="2">
        <v>45550</v>
      </c>
    </row>
    <row r="626" spans="1:1" x14ac:dyDescent="0.35">
      <c r="A626" s="2">
        <v>45551</v>
      </c>
    </row>
    <row r="627" spans="1:1" x14ac:dyDescent="0.35">
      <c r="A627" s="2">
        <v>45552</v>
      </c>
    </row>
    <row r="628" spans="1:1" x14ac:dyDescent="0.35">
      <c r="A628" s="2">
        <v>45553</v>
      </c>
    </row>
    <row r="629" spans="1:1" x14ac:dyDescent="0.35">
      <c r="A629" s="2">
        <v>45554</v>
      </c>
    </row>
    <row r="630" spans="1:1" x14ac:dyDescent="0.35">
      <c r="A630" s="2">
        <v>45555</v>
      </c>
    </row>
    <row r="631" spans="1:1" x14ac:dyDescent="0.35">
      <c r="A631" s="2">
        <v>45556</v>
      </c>
    </row>
    <row r="632" spans="1:1" x14ac:dyDescent="0.35">
      <c r="A632" s="2">
        <v>45557</v>
      </c>
    </row>
    <row r="633" spans="1:1" x14ac:dyDescent="0.35">
      <c r="A633" s="2">
        <v>45558</v>
      </c>
    </row>
    <row r="634" spans="1:1" x14ac:dyDescent="0.35">
      <c r="A634" s="2">
        <v>45559</v>
      </c>
    </row>
    <row r="635" spans="1:1" x14ac:dyDescent="0.35">
      <c r="A635" s="2">
        <v>45560</v>
      </c>
    </row>
    <row r="636" spans="1:1" x14ac:dyDescent="0.35">
      <c r="A636" s="2">
        <v>45561</v>
      </c>
    </row>
    <row r="637" spans="1:1" x14ac:dyDescent="0.35">
      <c r="A637" s="2">
        <v>45562</v>
      </c>
    </row>
    <row r="638" spans="1:1" x14ac:dyDescent="0.35">
      <c r="A638" s="2">
        <v>45563</v>
      </c>
    </row>
    <row r="639" spans="1:1" x14ac:dyDescent="0.35">
      <c r="A639" s="2">
        <v>45564</v>
      </c>
    </row>
    <row r="640" spans="1:1" x14ac:dyDescent="0.35">
      <c r="A640" s="2">
        <v>45565</v>
      </c>
    </row>
    <row r="641" spans="1:1" x14ac:dyDescent="0.35">
      <c r="A641" s="2">
        <v>45566</v>
      </c>
    </row>
    <row r="642" spans="1:1" x14ac:dyDescent="0.35">
      <c r="A642" s="2">
        <v>45567</v>
      </c>
    </row>
    <row r="643" spans="1:1" x14ac:dyDescent="0.35">
      <c r="A643" s="2">
        <v>45568</v>
      </c>
    </row>
    <row r="644" spans="1:1" x14ac:dyDescent="0.35">
      <c r="A644" s="2">
        <v>45569</v>
      </c>
    </row>
    <row r="645" spans="1:1" x14ac:dyDescent="0.35">
      <c r="A645" s="2">
        <v>45570</v>
      </c>
    </row>
    <row r="646" spans="1:1" x14ac:dyDescent="0.35">
      <c r="A646" s="2">
        <v>45571</v>
      </c>
    </row>
    <row r="647" spans="1:1" x14ac:dyDescent="0.35">
      <c r="A647" s="2">
        <v>45572</v>
      </c>
    </row>
    <row r="648" spans="1:1" x14ac:dyDescent="0.35">
      <c r="A648" s="2">
        <v>45573</v>
      </c>
    </row>
    <row r="649" spans="1:1" x14ac:dyDescent="0.35">
      <c r="A649" s="2">
        <v>45574</v>
      </c>
    </row>
    <row r="650" spans="1:1" x14ac:dyDescent="0.35">
      <c r="A650" s="2">
        <v>45575</v>
      </c>
    </row>
    <row r="651" spans="1:1" x14ac:dyDescent="0.35">
      <c r="A651" s="2">
        <v>45576</v>
      </c>
    </row>
    <row r="652" spans="1:1" x14ac:dyDescent="0.35">
      <c r="A652" s="2">
        <v>45577</v>
      </c>
    </row>
    <row r="653" spans="1:1" x14ac:dyDescent="0.35">
      <c r="A653" s="2">
        <v>45578</v>
      </c>
    </row>
    <row r="654" spans="1:1" x14ac:dyDescent="0.35">
      <c r="A654" s="2">
        <v>45579</v>
      </c>
    </row>
    <row r="655" spans="1:1" x14ac:dyDescent="0.35">
      <c r="A655" s="2">
        <v>45580</v>
      </c>
    </row>
    <row r="656" spans="1:1" x14ac:dyDescent="0.35">
      <c r="A656" s="2">
        <v>45581</v>
      </c>
    </row>
    <row r="657" spans="1:1" x14ac:dyDescent="0.35">
      <c r="A657" s="2">
        <v>45582</v>
      </c>
    </row>
    <row r="658" spans="1:1" x14ac:dyDescent="0.35">
      <c r="A658" s="2">
        <v>45583</v>
      </c>
    </row>
    <row r="659" spans="1:1" x14ac:dyDescent="0.35">
      <c r="A659" s="2">
        <v>45584</v>
      </c>
    </row>
    <row r="660" spans="1:1" x14ac:dyDescent="0.35">
      <c r="A660" s="2">
        <v>45585</v>
      </c>
    </row>
    <row r="661" spans="1:1" x14ac:dyDescent="0.35">
      <c r="A661" s="2">
        <v>45586</v>
      </c>
    </row>
    <row r="662" spans="1:1" x14ac:dyDescent="0.35">
      <c r="A662" s="2">
        <v>45587</v>
      </c>
    </row>
    <row r="663" spans="1:1" x14ac:dyDescent="0.35">
      <c r="A663" s="2">
        <v>45588</v>
      </c>
    </row>
    <row r="664" spans="1:1" x14ac:dyDescent="0.35">
      <c r="A664" s="2">
        <v>45589</v>
      </c>
    </row>
    <row r="665" spans="1:1" x14ac:dyDescent="0.35">
      <c r="A665" s="2">
        <v>45590</v>
      </c>
    </row>
    <row r="666" spans="1:1" x14ac:dyDescent="0.35">
      <c r="A666" s="2">
        <v>45591</v>
      </c>
    </row>
    <row r="667" spans="1:1" x14ac:dyDescent="0.35">
      <c r="A667" s="2">
        <v>45592</v>
      </c>
    </row>
    <row r="668" spans="1:1" x14ac:dyDescent="0.35">
      <c r="A668" s="2">
        <v>45593</v>
      </c>
    </row>
    <row r="669" spans="1:1" x14ac:dyDescent="0.35">
      <c r="A669" s="2">
        <v>45594</v>
      </c>
    </row>
    <row r="670" spans="1:1" x14ac:dyDescent="0.35">
      <c r="A670" s="2">
        <v>45595</v>
      </c>
    </row>
    <row r="671" spans="1:1" x14ac:dyDescent="0.35">
      <c r="A671" s="2">
        <v>45596</v>
      </c>
    </row>
    <row r="672" spans="1:1" x14ac:dyDescent="0.35">
      <c r="A672" s="2">
        <v>45597</v>
      </c>
    </row>
    <row r="673" spans="1:1" x14ac:dyDescent="0.35">
      <c r="A673" s="2">
        <v>45598</v>
      </c>
    </row>
    <row r="674" spans="1:1" x14ac:dyDescent="0.35">
      <c r="A674" s="2">
        <v>45599</v>
      </c>
    </row>
    <row r="675" spans="1:1" x14ac:dyDescent="0.35">
      <c r="A675" s="2">
        <v>45600</v>
      </c>
    </row>
    <row r="676" spans="1:1" x14ac:dyDescent="0.35">
      <c r="A676" s="2">
        <v>45601</v>
      </c>
    </row>
    <row r="677" spans="1:1" x14ac:dyDescent="0.35">
      <c r="A677" s="2">
        <v>45602</v>
      </c>
    </row>
    <row r="678" spans="1:1" x14ac:dyDescent="0.35">
      <c r="A678" s="2">
        <v>45603</v>
      </c>
    </row>
    <row r="679" spans="1:1" x14ac:dyDescent="0.35">
      <c r="A679" s="2">
        <v>45604</v>
      </c>
    </row>
    <row r="680" spans="1:1" x14ac:dyDescent="0.35">
      <c r="A680" s="2">
        <v>45605</v>
      </c>
    </row>
    <row r="681" spans="1:1" x14ac:dyDescent="0.35">
      <c r="A681" s="2">
        <v>45606</v>
      </c>
    </row>
    <row r="682" spans="1:1" x14ac:dyDescent="0.35">
      <c r="A682" s="2">
        <v>45607</v>
      </c>
    </row>
    <row r="683" spans="1:1" x14ac:dyDescent="0.35">
      <c r="A683" s="2">
        <v>45608</v>
      </c>
    </row>
    <row r="684" spans="1:1" x14ac:dyDescent="0.35">
      <c r="A684" s="2">
        <v>45609</v>
      </c>
    </row>
    <row r="685" spans="1:1" x14ac:dyDescent="0.35">
      <c r="A685" s="2">
        <v>45610</v>
      </c>
    </row>
    <row r="686" spans="1:1" x14ac:dyDescent="0.35">
      <c r="A686" s="2">
        <v>45611</v>
      </c>
    </row>
    <row r="687" spans="1:1" x14ac:dyDescent="0.35">
      <c r="A687" s="2">
        <v>45612</v>
      </c>
    </row>
    <row r="688" spans="1:1" x14ac:dyDescent="0.35">
      <c r="A688" s="2">
        <v>45613</v>
      </c>
    </row>
    <row r="689" spans="1:1" x14ac:dyDescent="0.35">
      <c r="A689" s="2">
        <v>45614</v>
      </c>
    </row>
    <row r="690" spans="1:1" x14ac:dyDescent="0.35">
      <c r="A690" s="2">
        <v>45615</v>
      </c>
    </row>
    <row r="691" spans="1:1" x14ac:dyDescent="0.35">
      <c r="A691" s="2">
        <v>45616</v>
      </c>
    </row>
    <row r="692" spans="1:1" x14ac:dyDescent="0.35">
      <c r="A692" s="2">
        <v>45617</v>
      </c>
    </row>
    <row r="693" spans="1:1" x14ac:dyDescent="0.35">
      <c r="A693" s="2">
        <v>45618</v>
      </c>
    </row>
    <row r="694" spans="1:1" x14ac:dyDescent="0.35">
      <c r="A694" s="2">
        <v>45619</v>
      </c>
    </row>
    <row r="695" spans="1:1" x14ac:dyDescent="0.35">
      <c r="A695" s="2">
        <v>45620</v>
      </c>
    </row>
    <row r="696" spans="1:1" x14ac:dyDescent="0.35">
      <c r="A696" s="2">
        <v>45621</v>
      </c>
    </row>
    <row r="697" spans="1:1" x14ac:dyDescent="0.35">
      <c r="A697" s="2">
        <v>45622</v>
      </c>
    </row>
    <row r="698" spans="1:1" x14ac:dyDescent="0.35">
      <c r="A698" s="2">
        <v>45623</v>
      </c>
    </row>
    <row r="699" spans="1:1" x14ac:dyDescent="0.35">
      <c r="A699" s="2">
        <v>45624</v>
      </c>
    </row>
    <row r="700" spans="1:1" x14ac:dyDescent="0.35">
      <c r="A700" s="2">
        <v>45625</v>
      </c>
    </row>
    <row r="701" spans="1:1" x14ac:dyDescent="0.35">
      <c r="A701" s="2">
        <v>45626</v>
      </c>
    </row>
    <row r="702" spans="1:1" x14ac:dyDescent="0.35">
      <c r="A702" s="2">
        <v>45627</v>
      </c>
    </row>
    <row r="703" spans="1:1" x14ac:dyDescent="0.35">
      <c r="A703" s="2">
        <v>45628</v>
      </c>
    </row>
    <row r="704" spans="1:1" x14ac:dyDescent="0.35">
      <c r="A704" s="2">
        <v>45629</v>
      </c>
    </row>
    <row r="705" spans="1:1" x14ac:dyDescent="0.35">
      <c r="A705" s="2">
        <v>45630</v>
      </c>
    </row>
    <row r="706" spans="1:1" x14ac:dyDescent="0.35">
      <c r="A706" s="2">
        <v>45631</v>
      </c>
    </row>
    <row r="707" spans="1:1" x14ac:dyDescent="0.35">
      <c r="A707" s="2">
        <v>45632</v>
      </c>
    </row>
    <row r="708" spans="1:1" x14ac:dyDescent="0.35">
      <c r="A708" s="2">
        <v>45633</v>
      </c>
    </row>
    <row r="709" spans="1:1" x14ac:dyDescent="0.35">
      <c r="A709" s="2">
        <v>45634</v>
      </c>
    </row>
    <row r="710" spans="1:1" x14ac:dyDescent="0.35">
      <c r="A710" s="2">
        <v>45635</v>
      </c>
    </row>
    <row r="711" spans="1:1" x14ac:dyDescent="0.35">
      <c r="A711" s="2">
        <v>45636</v>
      </c>
    </row>
    <row r="712" spans="1:1" x14ac:dyDescent="0.35">
      <c r="A712" s="2">
        <v>45637</v>
      </c>
    </row>
    <row r="713" spans="1:1" x14ac:dyDescent="0.35">
      <c r="A713" s="2">
        <v>45638</v>
      </c>
    </row>
    <row r="714" spans="1:1" x14ac:dyDescent="0.35">
      <c r="A714" s="2">
        <v>45639</v>
      </c>
    </row>
    <row r="715" spans="1:1" x14ac:dyDescent="0.35">
      <c r="A715" s="2">
        <v>45640</v>
      </c>
    </row>
    <row r="716" spans="1:1" x14ac:dyDescent="0.35">
      <c r="A716" s="2">
        <v>45641</v>
      </c>
    </row>
    <row r="717" spans="1:1" x14ac:dyDescent="0.35">
      <c r="A717" s="2">
        <v>45642</v>
      </c>
    </row>
    <row r="718" spans="1:1" x14ac:dyDescent="0.35">
      <c r="A718" s="2">
        <v>45643</v>
      </c>
    </row>
    <row r="719" spans="1:1" x14ac:dyDescent="0.35">
      <c r="A719" s="2">
        <v>45644</v>
      </c>
    </row>
    <row r="720" spans="1:1" x14ac:dyDescent="0.35">
      <c r="A720" s="2">
        <v>45645</v>
      </c>
    </row>
    <row r="721" spans="1:1" x14ac:dyDescent="0.35">
      <c r="A721" s="2">
        <v>45646</v>
      </c>
    </row>
    <row r="722" spans="1:1" x14ac:dyDescent="0.35">
      <c r="A722" s="2">
        <v>45647</v>
      </c>
    </row>
    <row r="723" spans="1:1" x14ac:dyDescent="0.35">
      <c r="A723" s="2">
        <v>45648</v>
      </c>
    </row>
    <row r="724" spans="1:1" x14ac:dyDescent="0.35">
      <c r="A724" s="2">
        <v>45649</v>
      </c>
    </row>
    <row r="725" spans="1:1" x14ac:dyDescent="0.35">
      <c r="A725" s="2">
        <v>45650</v>
      </c>
    </row>
    <row r="726" spans="1:1" x14ac:dyDescent="0.35">
      <c r="A726" s="2">
        <v>45651</v>
      </c>
    </row>
    <row r="727" spans="1:1" x14ac:dyDescent="0.35">
      <c r="A727" s="2">
        <v>45652</v>
      </c>
    </row>
    <row r="728" spans="1:1" x14ac:dyDescent="0.35">
      <c r="A728" s="2">
        <v>45653</v>
      </c>
    </row>
    <row r="729" spans="1:1" x14ac:dyDescent="0.35">
      <c r="A729" s="2">
        <v>45654</v>
      </c>
    </row>
    <row r="730" spans="1:1" x14ac:dyDescent="0.35">
      <c r="A730" s="2">
        <v>45655</v>
      </c>
    </row>
    <row r="731" spans="1:1" x14ac:dyDescent="0.35">
      <c r="A731" s="2">
        <v>45656</v>
      </c>
    </row>
    <row r="732" spans="1:1" x14ac:dyDescent="0.35">
      <c r="A732" s="2">
        <v>45657</v>
      </c>
    </row>
    <row r="733" spans="1:1" x14ac:dyDescent="0.35">
      <c r="A733" s="2">
        <v>45658</v>
      </c>
    </row>
    <row r="734" spans="1:1" x14ac:dyDescent="0.35">
      <c r="A734" s="2">
        <v>45659</v>
      </c>
    </row>
    <row r="735" spans="1:1" x14ac:dyDescent="0.35">
      <c r="A735" s="2">
        <v>45660</v>
      </c>
    </row>
    <row r="736" spans="1:1" x14ac:dyDescent="0.35">
      <c r="A736" s="2">
        <v>45661</v>
      </c>
    </row>
    <row r="737" spans="1:1" x14ac:dyDescent="0.35">
      <c r="A737" s="2">
        <v>45662</v>
      </c>
    </row>
    <row r="738" spans="1:1" x14ac:dyDescent="0.35">
      <c r="A738" s="2">
        <v>45663</v>
      </c>
    </row>
    <row r="739" spans="1:1" x14ac:dyDescent="0.35">
      <c r="A739" s="2">
        <v>45664</v>
      </c>
    </row>
    <row r="740" spans="1:1" x14ac:dyDescent="0.35">
      <c r="A740" s="2">
        <v>45665</v>
      </c>
    </row>
    <row r="741" spans="1:1" x14ac:dyDescent="0.35">
      <c r="A741" s="2">
        <v>45666</v>
      </c>
    </row>
    <row r="742" spans="1:1" x14ac:dyDescent="0.35">
      <c r="A742" s="2">
        <v>45667</v>
      </c>
    </row>
    <row r="743" spans="1:1" x14ac:dyDescent="0.35">
      <c r="A743" s="2">
        <v>45668</v>
      </c>
    </row>
    <row r="744" spans="1:1" x14ac:dyDescent="0.35">
      <c r="A744" s="2">
        <v>45669</v>
      </c>
    </row>
    <row r="745" spans="1:1" x14ac:dyDescent="0.35">
      <c r="A745" s="2">
        <v>45670</v>
      </c>
    </row>
    <row r="746" spans="1:1" x14ac:dyDescent="0.35">
      <c r="A746" s="2">
        <v>45671</v>
      </c>
    </row>
    <row r="747" spans="1:1" x14ac:dyDescent="0.35">
      <c r="A747" s="2">
        <v>45672</v>
      </c>
    </row>
    <row r="748" spans="1:1" x14ac:dyDescent="0.35">
      <c r="A748" s="2">
        <v>45673</v>
      </c>
    </row>
    <row r="749" spans="1:1" x14ac:dyDescent="0.35">
      <c r="A749" s="2">
        <v>45674</v>
      </c>
    </row>
    <row r="750" spans="1:1" x14ac:dyDescent="0.35">
      <c r="A750" s="2">
        <v>45675</v>
      </c>
    </row>
    <row r="751" spans="1:1" x14ac:dyDescent="0.35">
      <c r="A751" s="2">
        <v>45676</v>
      </c>
    </row>
    <row r="752" spans="1:1" x14ac:dyDescent="0.35">
      <c r="A752" s="2">
        <v>45677</v>
      </c>
    </row>
    <row r="753" spans="1:1" x14ac:dyDescent="0.35">
      <c r="A753" s="2">
        <v>45678</v>
      </c>
    </row>
    <row r="754" spans="1:1" x14ac:dyDescent="0.35">
      <c r="A754" s="2">
        <v>45679</v>
      </c>
    </row>
    <row r="755" spans="1:1" x14ac:dyDescent="0.35">
      <c r="A755" s="2">
        <v>45680</v>
      </c>
    </row>
    <row r="756" spans="1:1" x14ac:dyDescent="0.35">
      <c r="A756" s="2">
        <v>45681</v>
      </c>
    </row>
    <row r="757" spans="1:1" x14ac:dyDescent="0.35">
      <c r="A757" s="2">
        <v>45682</v>
      </c>
    </row>
    <row r="758" spans="1:1" x14ac:dyDescent="0.35">
      <c r="A758" s="2">
        <v>45683</v>
      </c>
    </row>
    <row r="759" spans="1:1" x14ac:dyDescent="0.35">
      <c r="A759" s="2">
        <v>45684</v>
      </c>
    </row>
    <row r="760" spans="1:1" x14ac:dyDescent="0.35">
      <c r="A760" s="2">
        <v>45685</v>
      </c>
    </row>
    <row r="761" spans="1:1" x14ac:dyDescent="0.35">
      <c r="A761" s="2">
        <v>45686</v>
      </c>
    </row>
    <row r="762" spans="1:1" x14ac:dyDescent="0.35">
      <c r="A762" s="2">
        <v>45687</v>
      </c>
    </row>
    <row r="763" spans="1:1" x14ac:dyDescent="0.35">
      <c r="A763" s="2">
        <v>45688</v>
      </c>
    </row>
    <row r="764" spans="1:1" x14ac:dyDescent="0.35">
      <c r="A764" s="2">
        <v>45689</v>
      </c>
    </row>
    <row r="765" spans="1:1" x14ac:dyDescent="0.35">
      <c r="A765" s="2">
        <v>45690</v>
      </c>
    </row>
    <row r="766" spans="1:1" x14ac:dyDescent="0.35">
      <c r="A766" s="2">
        <v>45691</v>
      </c>
    </row>
    <row r="767" spans="1:1" x14ac:dyDescent="0.35">
      <c r="A767" s="2">
        <v>45692</v>
      </c>
    </row>
    <row r="768" spans="1:1" x14ac:dyDescent="0.35">
      <c r="A768" s="2">
        <v>45693</v>
      </c>
    </row>
    <row r="769" spans="1:1" x14ac:dyDescent="0.35">
      <c r="A769" s="2">
        <v>45694</v>
      </c>
    </row>
    <row r="770" spans="1:1" x14ac:dyDescent="0.35">
      <c r="A770" s="2">
        <v>45695</v>
      </c>
    </row>
    <row r="771" spans="1:1" x14ac:dyDescent="0.35">
      <c r="A771" s="2">
        <v>45696</v>
      </c>
    </row>
    <row r="772" spans="1:1" x14ac:dyDescent="0.35">
      <c r="A772" s="2">
        <v>45697</v>
      </c>
    </row>
    <row r="773" spans="1:1" x14ac:dyDescent="0.35">
      <c r="A773" s="2">
        <v>45698</v>
      </c>
    </row>
    <row r="774" spans="1:1" x14ac:dyDescent="0.35">
      <c r="A774" s="2">
        <v>45699</v>
      </c>
    </row>
    <row r="775" spans="1:1" x14ac:dyDescent="0.35">
      <c r="A775" s="2">
        <v>45700</v>
      </c>
    </row>
    <row r="776" spans="1:1" x14ac:dyDescent="0.35">
      <c r="A776" s="2">
        <v>45701</v>
      </c>
    </row>
    <row r="777" spans="1:1" x14ac:dyDescent="0.35">
      <c r="A777" s="2">
        <v>45702</v>
      </c>
    </row>
    <row r="778" spans="1:1" x14ac:dyDescent="0.35">
      <c r="A778" s="2">
        <v>45703</v>
      </c>
    </row>
    <row r="779" spans="1:1" x14ac:dyDescent="0.35">
      <c r="A779" s="2">
        <v>45704</v>
      </c>
    </row>
    <row r="780" spans="1:1" x14ac:dyDescent="0.35">
      <c r="A780" s="2">
        <v>45705</v>
      </c>
    </row>
    <row r="781" spans="1:1" x14ac:dyDescent="0.35">
      <c r="A781" s="2">
        <v>45706</v>
      </c>
    </row>
    <row r="782" spans="1:1" x14ac:dyDescent="0.35">
      <c r="A782" s="2">
        <v>45707</v>
      </c>
    </row>
    <row r="783" spans="1:1" x14ac:dyDescent="0.35">
      <c r="A783" s="2">
        <v>45708</v>
      </c>
    </row>
    <row r="784" spans="1:1" x14ac:dyDescent="0.35">
      <c r="A784" s="2">
        <v>45709</v>
      </c>
    </row>
    <row r="785" spans="1:1" x14ac:dyDescent="0.35">
      <c r="A785" s="2">
        <v>45710</v>
      </c>
    </row>
    <row r="786" spans="1:1" x14ac:dyDescent="0.35">
      <c r="A786" s="2">
        <v>45711</v>
      </c>
    </row>
    <row r="787" spans="1:1" x14ac:dyDescent="0.35">
      <c r="A787" s="2">
        <v>45712</v>
      </c>
    </row>
    <row r="788" spans="1:1" x14ac:dyDescent="0.35">
      <c r="A788" s="2">
        <v>45713</v>
      </c>
    </row>
    <row r="789" spans="1:1" x14ac:dyDescent="0.35">
      <c r="A789" s="2">
        <v>45714</v>
      </c>
    </row>
    <row r="790" spans="1:1" x14ac:dyDescent="0.35">
      <c r="A790" s="2">
        <v>45715</v>
      </c>
    </row>
    <row r="791" spans="1:1" x14ac:dyDescent="0.35">
      <c r="A791" s="2">
        <v>45716</v>
      </c>
    </row>
    <row r="792" spans="1:1" x14ac:dyDescent="0.35">
      <c r="A792" s="2">
        <v>45717</v>
      </c>
    </row>
    <row r="793" spans="1:1" x14ac:dyDescent="0.35">
      <c r="A793" s="2">
        <v>45718</v>
      </c>
    </row>
    <row r="794" spans="1:1" x14ac:dyDescent="0.35">
      <c r="A794" s="2">
        <v>45719</v>
      </c>
    </row>
    <row r="795" spans="1:1" x14ac:dyDescent="0.35">
      <c r="A795" s="2">
        <v>45720</v>
      </c>
    </row>
    <row r="796" spans="1:1" x14ac:dyDescent="0.35">
      <c r="A796" s="2">
        <v>45721</v>
      </c>
    </row>
    <row r="797" spans="1:1" x14ac:dyDescent="0.35">
      <c r="A797" s="2">
        <v>45722</v>
      </c>
    </row>
    <row r="798" spans="1:1" x14ac:dyDescent="0.35">
      <c r="A798" s="2">
        <v>45723</v>
      </c>
    </row>
    <row r="799" spans="1:1" x14ac:dyDescent="0.35">
      <c r="A799" s="2">
        <v>45724</v>
      </c>
    </row>
    <row r="800" spans="1:1" x14ac:dyDescent="0.35">
      <c r="A800" s="2">
        <v>45725</v>
      </c>
    </row>
    <row r="801" spans="1:1" x14ac:dyDescent="0.35">
      <c r="A801" s="2">
        <v>45726</v>
      </c>
    </row>
    <row r="802" spans="1:1" x14ac:dyDescent="0.35">
      <c r="A802" s="2">
        <v>45727</v>
      </c>
    </row>
    <row r="803" spans="1:1" x14ac:dyDescent="0.35">
      <c r="A803" s="2">
        <v>45728</v>
      </c>
    </row>
    <row r="804" spans="1:1" x14ac:dyDescent="0.35">
      <c r="A804" s="2">
        <v>45729</v>
      </c>
    </row>
    <row r="805" spans="1:1" x14ac:dyDescent="0.35">
      <c r="A805" s="2">
        <v>45730</v>
      </c>
    </row>
    <row r="806" spans="1:1" x14ac:dyDescent="0.35">
      <c r="A806" s="2">
        <v>45731</v>
      </c>
    </row>
    <row r="807" spans="1:1" x14ac:dyDescent="0.35">
      <c r="A807" s="2">
        <v>45732</v>
      </c>
    </row>
    <row r="808" spans="1:1" x14ac:dyDescent="0.35">
      <c r="A808" s="2">
        <v>45733</v>
      </c>
    </row>
    <row r="809" spans="1:1" x14ac:dyDescent="0.35">
      <c r="A809" s="2">
        <v>45734</v>
      </c>
    </row>
    <row r="810" spans="1:1" x14ac:dyDescent="0.35">
      <c r="A810" s="2">
        <v>45735</v>
      </c>
    </row>
    <row r="811" spans="1:1" x14ac:dyDescent="0.35">
      <c r="A811" s="2">
        <v>45736</v>
      </c>
    </row>
    <row r="812" spans="1:1" x14ac:dyDescent="0.35">
      <c r="A812" s="2">
        <v>45737</v>
      </c>
    </row>
    <row r="813" spans="1:1" x14ac:dyDescent="0.35">
      <c r="A813" s="2">
        <v>45738</v>
      </c>
    </row>
    <row r="814" spans="1:1" x14ac:dyDescent="0.35">
      <c r="A814" s="2">
        <v>45739</v>
      </c>
    </row>
    <row r="815" spans="1:1" x14ac:dyDescent="0.35">
      <c r="A815" s="2">
        <v>45740</v>
      </c>
    </row>
    <row r="816" spans="1:1" x14ac:dyDescent="0.35">
      <c r="A816" s="2">
        <v>45741</v>
      </c>
    </row>
    <row r="817" spans="1:1" x14ac:dyDescent="0.35">
      <c r="A817" s="2">
        <v>45742</v>
      </c>
    </row>
    <row r="818" spans="1:1" x14ac:dyDescent="0.35">
      <c r="A818" s="2">
        <v>45743</v>
      </c>
    </row>
    <row r="819" spans="1:1" x14ac:dyDescent="0.35">
      <c r="A819" s="2">
        <v>45744</v>
      </c>
    </row>
    <row r="820" spans="1:1" x14ac:dyDescent="0.35">
      <c r="A820" s="2">
        <v>45745</v>
      </c>
    </row>
    <row r="821" spans="1:1" x14ac:dyDescent="0.35">
      <c r="A821" s="2">
        <v>45746</v>
      </c>
    </row>
    <row r="822" spans="1:1" x14ac:dyDescent="0.35">
      <c r="A822" s="2">
        <v>45747</v>
      </c>
    </row>
    <row r="823" spans="1:1" x14ac:dyDescent="0.35">
      <c r="A823" s="2">
        <v>45748</v>
      </c>
    </row>
    <row r="824" spans="1:1" x14ac:dyDescent="0.35">
      <c r="A824" s="2">
        <v>45749</v>
      </c>
    </row>
    <row r="825" spans="1:1" x14ac:dyDescent="0.35">
      <c r="A825" s="2">
        <v>45750</v>
      </c>
    </row>
    <row r="826" spans="1:1" x14ac:dyDescent="0.35">
      <c r="A826" s="2">
        <v>45751</v>
      </c>
    </row>
    <row r="827" spans="1:1" x14ac:dyDescent="0.35">
      <c r="A827" s="2">
        <v>45752</v>
      </c>
    </row>
    <row r="828" spans="1:1" x14ac:dyDescent="0.35">
      <c r="A828" s="2">
        <v>45753</v>
      </c>
    </row>
    <row r="829" spans="1:1" x14ac:dyDescent="0.35">
      <c r="A829" s="2">
        <v>45754</v>
      </c>
    </row>
    <row r="830" spans="1:1" x14ac:dyDescent="0.35">
      <c r="A830" s="2">
        <v>45755</v>
      </c>
    </row>
    <row r="831" spans="1:1" x14ac:dyDescent="0.35">
      <c r="A831" s="2">
        <v>45756</v>
      </c>
    </row>
    <row r="832" spans="1:1" x14ac:dyDescent="0.35">
      <c r="A832" s="2">
        <v>45757</v>
      </c>
    </row>
    <row r="833" spans="1:1" x14ac:dyDescent="0.35">
      <c r="A833" s="2">
        <v>45758</v>
      </c>
    </row>
    <row r="834" spans="1:1" x14ac:dyDescent="0.35">
      <c r="A834" s="2">
        <v>45759</v>
      </c>
    </row>
    <row r="835" spans="1:1" x14ac:dyDescent="0.35">
      <c r="A835" s="2">
        <v>45760</v>
      </c>
    </row>
    <row r="836" spans="1:1" x14ac:dyDescent="0.35">
      <c r="A836" s="2">
        <v>45761</v>
      </c>
    </row>
    <row r="837" spans="1:1" x14ac:dyDescent="0.35">
      <c r="A837" s="2">
        <v>45762</v>
      </c>
    </row>
    <row r="838" spans="1:1" x14ac:dyDescent="0.35">
      <c r="A838" s="2">
        <v>45763</v>
      </c>
    </row>
    <row r="839" spans="1:1" x14ac:dyDescent="0.35">
      <c r="A839" s="2">
        <v>45764</v>
      </c>
    </row>
    <row r="840" spans="1:1" x14ac:dyDescent="0.35">
      <c r="A840" s="2">
        <v>45765</v>
      </c>
    </row>
    <row r="841" spans="1:1" x14ac:dyDescent="0.35">
      <c r="A841" s="2">
        <v>45766</v>
      </c>
    </row>
    <row r="842" spans="1:1" x14ac:dyDescent="0.35">
      <c r="A842" s="2">
        <v>45767</v>
      </c>
    </row>
    <row r="843" spans="1:1" x14ac:dyDescent="0.35">
      <c r="A843" s="2">
        <v>45768</v>
      </c>
    </row>
    <row r="844" spans="1:1" x14ac:dyDescent="0.35">
      <c r="A844" s="2">
        <v>45769</v>
      </c>
    </row>
    <row r="845" spans="1:1" x14ac:dyDescent="0.35">
      <c r="A845" s="2">
        <v>45770</v>
      </c>
    </row>
    <row r="846" spans="1:1" x14ac:dyDescent="0.35">
      <c r="A846" s="2">
        <v>45771</v>
      </c>
    </row>
    <row r="847" spans="1:1" x14ac:dyDescent="0.35">
      <c r="A847" s="2">
        <v>45772</v>
      </c>
    </row>
    <row r="848" spans="1:1" x14ac:dyDescent="0.35">
      <c r="A848" s="2">
        <v>45773</v>
      </c>
    </row>
    <row r="849" spans="1:1" x14ac:dyDescent="0.35">
      <c r="A849" s="2">
        <v>45774</v>
      </c>
    </row>
    <row r="850" spans="1:1" x14ac:dyDescent="0.35">
      <c r="A850" s="2">
        <v>45775</v>
      </c>
    </row>
    <row r="851" spans="1:1" x14ac:dyDescent="0.35">
      <c r="A851" s="2">
        <v>45776</v>
      </c>
    </row>
    <row r="852" spans="1:1" x14ac:dyDescent="0.35">
      <c r="A852" s="2">
        <v>45777</v>
      </c>
    </row>
    <row r="853" spans="1:1" x14ac:dyDescent="0.35">
      <c r="A853" s="2">
        <v>45778</v>
      </c>
    </row>
    <row r="854" spans="1:1" x14ac:dyDescent="0.35">
      <c r="A854" s="2">
        <v>45779</v>
      </c>
    </row>
    <row r="855" spans="1:1" x14ac:dyDescent="0.35">
      <c r="A855" s="2">
        <v>45780</v>
      </c>
    </row>
    <row r="856" spans="1:1" x14ac:dyDescent="0.35">
      <c r="A856" s="2">
        <v>45781</v>
      </c>
    </row>
    <row r="857" spans="1:1" x14ac:dyDescent="0.35">
      <c r="A857" s="2">
        <v>45782</v>
      </c>
    </row>
    <row r="858" spans="1:1" x14ac:dyDescent="0.35">
      <c r="A858" s="2">
        <v>45783</v>
      </c>
    </row>
    <row r="859" spans="1:1" x14ac:dyDescent="0.35">
      <c r="A859" s="2">
        <v>45784</v>
      </c>
    </row>
    <row r="860" spans="1:1" x14ac:dyDescent="0.35">
      <c r="A860" s="2">
        <v>45785</v>
      </c>
    </row>
    <row r="861" spans="1:1" x14ac:dyDescent="0.35">
      <c r="A861" s="2">
        <v>45786</v>
      </c>
    </row>
    <row r="862" spans="1:1" x14ac:dyDescent="0.35">
      <c r="A862" s="2">
        <v>45787</v>
      </c>
    </row>
    <row r="863" spans="1:1" x14ac:dyDescent="0.35">
      <c r="A863" s="2">
        <v>45788</v>
      </c>
    </row>
    <row r="864" spans="1:1" x14ac:dyDescent="0.35">
      <c r="A864" s="2">
        <v>45789</v>
      </c>
    </row>
    <row r="865" spans="1:1" x14ac:dyDescent="0.35">
      <c r="A865" s="2">
        <v>45790</v>
      </c>
    </row>
    <row r="866" spans="1:1" x14ac:dyDescent="0.35">
      <c r="A866" s="2">
        <v>45791</v>
      </c>
    </row>
    <row r="867" spans="1:1" x14ac:dyDescent="0.35">
      <c r="A867" s="2">
        <v>45792</v>
      </c>
    </row>
    <row r="868" spans="1:1" x14ac:dyDescent="0.35">
      <c r="A868" s="2">
        <v>45793</v>
      </c>
    </row>
    <row r="869" spans="1:1" x14ac:dyDescent="0.35">
      <c r="A869" s="2">
        <v>45794</v>
      </c>
    </row>
    <row r="870" spans="1:1" x14ac:dyDescent="0.35">
      <c r="A870" s="2">
        <v>45795</v>
      </c>
    </row>
    <row r="871" spans="1:1" x14ac:dyDescent="0.35">
      <c r="A871" s="2">
        <v>45796</v>
      </c>
    </row>
    <row r="872" spans="1:1" x14ac:dyDescent="0.35">
      <c r="A872" s="2">
        <v>45797</v>
      </c>
    </row>
    <row r="873" spans="1:1" x14ac:dyDescent="0.35">
      <c r="A873" s="2">
        <v>45798</v>
      </c>
    </row>
    <row r="874" spans="1:1" x14ac:dyDescent="0.35">
      <c r="A874" s="2">
        <v>45799</v>
      </c>
    </row>
    <row r="875" spans="1:1" x14ac:dyDescent="0.35">
      <c r="A875" s="2">
        <v>45800</v>
      </c>
    </row>
    <row r="876" spans="1:1" x14ac:dyDescent="0.35">
      <c r="A876" s="2">
        <v>45801</v>
      </c>
    </row>
    <row r="877" spans="1:1" x14ac:dyDescent="0.35">
      <c r="A877" s="2">
        <v>45802</v>
      </c>
    </row>
    <row r="878" spans="1:1" x14ac:dyDescent="0.35">
      <c r="A878" s="2">
        <v>45803</v>
      </c>
    </row>
    <row r="879" spans="1:1" x14ac:dyDescent="0.35">
      <c r="A879" s="2">
        <v>45804</v>
      </c>
    </row>
    <row r="880" spans="1:1" x14ac:dyDescent="0.35">
      <c r="A880" s="2">
        <v>45805</v>
      </c>
    </row>
    <row r="881" spans="1:1" x14ac:dyDescent="0.35">
      <c r="A881" s="2">
        <v>45806</v>
      </c>
    </row>
    <row r="882" spans="1:1" x14ac:dyDescent="0.35">
      <c r="A882" s="2">
        <v>45807</v>
      </c>
    </row>
    <row r="883" spans="1:1" x14ac:dyDescent="0.35">
      <c r="A883" s="2">
        <v>45808</v>
      </c>
    </row>
    <row r="884" spans="1:1" x14ac:dyDescent="0.35">
      <c r="A884" s="2">
        <v>45809</v>
      </c>
    </row>
    <row r="885" spans="1:1" x14ac:dyDescent="0.35">
      <c r="A885" s="2">
        <v>45810</v>
      </c>
    </row>
    <row r="886" spans="1:1" x14ac:dyDescent="0.35">
      <c r="A886" s="2">
        <v>45811</v>
      </c>
    </row>
    <row r="887" spans="1:1" x14ac:dyDescent="0.35">
      <c r="A887" s="2">
        <v>45812</v>
      </c>
    </row>
    <row r="888" spans="1:1" x14ac:dyDescent="0.35">
      <c r="A888" s="2">
        <v>45813</v>
      </c>
    </row>
    <row r="889" spans="1:1" x14ac:dyDescent="0.35">
      <c r="A889" s="2">
        <v>45814</v>
      </c>
    </row>
    <row r="890" spans="1:1" x14ac:dyDescent="0.35">
      <c r="A890" s="2">
        <v>45815</v>
      </c>
    </row>
    <row r="891" spans="1:1" x14ac:dyDescent="0.35">
      <c r="A891" s="2">
        <v>45816</v>
      </c>
    </row>
    <row r="892" spans="1:1" x14ac:dyDescent="0.35">
      <c r="A892" s="2">
        <v>45817</v>
      </c>
    </row>
    <row r="893" spans="1:1" x14ac:dyDescent="0.35">
      <c r="A893" s="2">
        <v>45818</v>
      </c>
    </row>
    <row r="894" spans="1:1" x14ac:dyDescent="0.35">
      <c r="A894" s="2">
        <v>45819</v>
      </c>
    </row>
    <row r="895" spans="1:1" x14ac:dyDescent="0.35">
      <c r="A895" s="2">
        <v>45820</v>
      </c>
    </row>
    <row r="896" spans="1:1" x14ac:dyDescent="0.35">
      <c r="A896" s="2">
        <v>45821</v>
      </c>
    </row>
    <row r="897" spans="1:1" x14ac:dyDescent="0.35">
      <c r="A897" s="2">
        <v>45822</v>
      </c>
    </row>
    <row r="898" spans="1:1" x14ac:dyDescent="0.35">
      <c r="A898" s="2">
        <v>45823</v>
      </c>
    </row>
    <row r="899" spans="1:1" x14ac:dyDescent="0.35">
      <c r="A899" s="2">
        <v>45824</v>
      </c>
    </row>
    <row r="900" spans="1:1" x14ac:dyDescent="0.35">
      <c r="A900" s="2">
        <v>45825</v>
      </c>
    </row>
    <row r="901" spans="1:1" x14ac:dyDescent="0.35">
      <c r="A901" s="2">
        <v>45826</v>
      </c>
    </row>
    <row r="902" spans="1:1" x14ac:dyDescent="0.35">
      <c r="A902" s="2">
        <v>45827</v>
      </c>
    </row>
    <row r="903" spans="1:1" x14ac:dyDescent="0.35">
      <c r="A903" s="2">
        <v>45828</v>
      </c>
    </row>
    <row r="904" spans="1:1" x14ac:dyDescent="0.35">
      <c r="A904" s="2">
        <v>45829</v>
      </c>
    </row>
    <row r="905" spans="1:1" x14ac:dyDescent="0.35">
      <c r="A905" s="2">
        <v>45830</v>
      </c>
    </row>
    <row r="906" spans="1:1" x14ac:dyDescent="0.35">
      <c r="A906" s="2">
        <v>45831</v>
      </c>
    </row>
    <row r="907" spans="1:1" x14ac:dyDescent="0.35">
      <c r="A907" s="2">
        <v>45832</v>
      </c>
    </row>
    <row r="908" spans="1:1" x14ac:dyDescent="0.35">
      <c r="A908" s="2">
        <v>45833</v>
      </c>
    </row>
    <row r="909" spans="1:1" x14ac:dyDescent="0.35">
      <c r="A909" s="2">
        <v>45834</v>
      </c>
    </row>
    <row r="910" spans="1:1" x14ac:dyDescent="0.35">
      <c r="A910" s="2">
        <v>45835</v>
      </c>
    </row>
    <row r="911" spans="1:1" x14ac:dyDescent="0.35">
      <c r="A911" s="2">
        <v>45836</v>
      </c>
    </row>
    <row r="912" spans="1:1" x14ac:dyDescent="0.35">
      <c r="A912" s="2">
        <v>45837</v>
      </c>
    </row>
    <row r="913" spans="1:1" x14ac:dyDescent="0.35">
      <c r="A913" s="2">
        <v>45838</v>
      </c>
    </row>
    <row r="914" spans="1:1" x14ac:dyDescent="0.35">
      <c r="A914" s="2">
        <v>45839</v>
      </c>
    </row>
    <row r="915" spans="1:1" x14ac:dyDescent="0.35">
      <c r="A915" s="2">
        <v>45840</v>
      </c>
    </row>
    <row r="916" spans="1:1" x14ac:dyDescent="0.35">
      <c r="A916" s="2">
        <v>45841</v>
      </c>
    </row>
    <row r="917" spans="1:1" x14ac:dyDescent="0.35">
      <c r="A917" s="2">
        <v>45842</v>
      </c>
    </row>
    <row r="918" spans="1:1" x14ac:dyDescent="0.35">
      <c r="A918" s="2">
        <v>45843</v>
      </c>
    </row>
    <row r="919" spans="1:1" x14ac:dyDescent="0.35">
      <c r="A919" s="2">
        <v>45844</v>
      </c>
    </row>
    <row r="920" spans="1:1" x14ac:dyDescent="0.35">
      <c r="A920" s="2">
        <v>45845</v>
      </c>
    </row>
    <row r="921" spans="1:1" x14ac:dyDescent="0.35">
      <c r="A921" s="2">
        <v>45846</v>
      </c>
    </row>
    <row r="922" spans="1:1" x14ac:dyDescent="0.35">
      <c r="A922" s="2">
        <v>45847</v>
      </c>
    </row>
    <row r="923" spans="1:1" x14ac:dyDescent="0.35">
      <c r="A923" s="2">
        <v>45848</v>
      </c>
    </row>
    <row r="924" spans="1:1" x14ac:dyDescent="0.35">
      <c r="A924" s="2">
        <v>45849</v>
      </c>
    </row>
    <row r="925" spans="1:1" x14ac:dyDescent="0.35">
      <c r="A925" s="2">
        <v>45850</v>
      </c>
    </row>
    <row r="926" spans="1:1" x14ac:dyDescent="0.35">
      <c r="A926" s="2">
        <v>45851</v>
      </c>
    </row>
    <row r="927" spans="1:1" x14ac:dyDescent="0.35">
      <c r="A927" s="2">
        <v>45852</v>
      </c>
    </row>
    <row r="928" spans="1:1" x14ac:dyDescent="0.35">
      <c r="A928" s="2">
        <v>45853</v>
      </c>
    </row>
    <row r="929" spans="1:1" x14ac:dyDescent="0.35">
      <c r="A929" s="2">
        <v>45854</v>
      </c>
    </row>
    <row r="930" spans="1:1" x14ac:dyDescent="0.35">
      <c r="A930" s="2">
        <v>45855</v>
      </c>
    </row>
    <row r="931" spans="1:1" x14ac:dyDescent="0.35">
      <c r="A931" s="2">
        <v>45856</v>
      </c>
    </row>
    <row r="932" spans="1:1" x14ac:dyDescent="0.35">
      <c r="A932" s="2">
        <v>45857</v>
      </c>
    </row>
    <row r="933" spans="1:1" x14ac:dyDescent="0.35">
      <c r="A933" s="2">
        <v>45858</v>
      </c>
    </row>
    <row r="934" spans="1:1" x14ac:dyDescent="0.35">
      <c r="A934" s="2">
        <v>45859</v>
      </c>
    </row>
    <row r="935" spans="1:1" x14ac:dyDescent="0.35">
      <c r="A935" s="2">
        <v>45860</v>
      </c>
    </row>
    <row r="936" spans="1:1" x14ac:dyDescent="0.35">
      <c r="A936" s="2">
        <v>45861</v>
      </c>
    </row>
    <row r="937" spans="1:1" x14ac:dyDescent="0.35">
      <c r="A937" s="2">
        <v>45862</v>
      </c>
    </row>
    <row r="938" spans="1:1" x14ac:dyDescent="0.35">
      <c r="A938" s="2">
        <v>45863</v>
      </c>
    </row>
    <row r="939" spans="1:1" x14ac:dyDescent="0.35">
      <c r="A939" s="2">
        <v>45864</v>
      </c>
    </row>
    <row r="940" spans="1:1" x14ac:dyDescent="0.35">
      <c r="A940" s="2">
        <v>45865</v>
      </c>
    </row>
    <row r="941" spans="1:1" x14ac:dyDescent="0.35">
      <c r="A941" s="2">
        <v>45866</v>
      </c>
    </row>
    <row r="942" spans="1:1" x14ac:dyDescent="0.35">
      <c r="A942" s="2">
        <v>45867</v>
      </c>
    </row>
    <row r="943" spans="1:1" x14ac:dyDescent="0.35">
      <c r="A943" s="2">
        <v>45868</v>
      </c>
    </row>
    <row r="944" spans="1:1" x14ac:dyDescent="0.35">
      <c r="A944" s="2">
        <v>45869</v>
      </c>
    </row>
    <row r="945" spans="1:1" x14ac:dyDescent="0.35">
      <c r="A945" s="2">
        <v>45870</v>
      </c>
    </row>
    <row r="946" spans="1:1" x14ac:dyDescent="0.35">
      <c r="A946" s="2">
        <v>45871</v>
      </c>
    </row>
    <row r="947" spans="1:1" x14ac:dyDescent="0.35">
      <c r="A947" s="2">
        <v>45872</v>
      </c>
    </row>
    <row r="948" spans="1:1" x14ac:dyDescent="0.35">
      <c r="A948" s="2">
        <v>45873</v>
      </c>
    </row>
    <row r="949" spans="1:1" x14ac:dyDescent="0.35">
      <c r="A949" s="2">
        <v>45874</v>
      </c>
    </row>
    <row r="950" spans="1:1" x14ac:dyDescent="0.35">
      <c r="A950" s="2">
        <v>45875</v>
      </c>
    </row>
    <row r="951" spans="1:1" x14ac:dyDescent="0.35">
      <c r="A951" s="2">
        <v>45876</v>
      </c>
    </row>
    <row r="952" spans="1:1" x14ac:dyDescent="0.35">
      <c r="A952" s="2">
        <v>45877</v>
      </c>
    </row>
    <row r="953" spans="1:1" x14ac:dyDescent="0.35">
      <c r="A953" s="2">
        <v>45878</v>
      </c>
    </row>
    <row r="954" spans="1:1" x14ac:dyDescent="0.35">
      <c r="A954" s="2">
        <v>45879</v>
      </c>
    </row>
    <row r="955" spans="1:1" x14ac:dyDescent="0.35">
      <c r="A955" s="2">
        <v>45880</v>
      </c>
    </row>
    <row r="956" spans="1:1" x14ac:dyDescent="0.35">
      <c r="A956" s="2">
        <v>45881</v>
      </c>
    </row>
    <row r="957" spans="1:1" x14ac:dyDescent="0.35">
      <c r="A957" s="2">
        <v>45882</v>
      </c>
    </row>
    <row r="958" spans="1:1" x14ac:dyDescent="0.35">
      <c r="A958" s="2">
        <v>45883</v>
      </c>
    </row>
    <row r="959" spans="1:1" x14ac:dyDescent="0.35">
      <c r="A959" s="2">
        <v>45884</v>
      </c>
    </row>
    <row r="960" spans="1:1" x14ac:dyDescent="0.35">
      <c r="A960" s="2">
        <v>45885</v>
      </c>
    </row>
    <row r="961" spans="1:1" x14ac:dyDescent="0.35">
      <c r="A961" s="2">
        <v>45886</v>
      </c>
    </row>
    <row r="962" spans="1:1" x14ac:dyDescent="0.35">
      <c r="A962" s="2">
        <v>45887</v>
      </c>
    </row>
    <row r="963" spans="1:1" x14ac:dyDescent="0.35">
      <c r="A963" s="2">
        <v>45888</v>
      </c>
    </row>
    <row r="964" spans="1:1" x14ac:dyDescent="0.35">
      <c r="A964" s="2">
        <v>45889</v>
      </c>
    </row>
    <row r="965" spans="1:1" x14ac:dyDescent="0.35">
      <c r="A965" s="2">
        <v>45890</v>
      </c>
    </row>
    <row r="966" spans="1:1" x14ac:dyDescent="0.35">
      <c r="A966" s="2">
        <v>45891</v>
      </c>
    </row>
    <row r="967" spans="1:1" x14ac:dyDescent="0.35">
      <c r="A967" s="2">
        <v>45892</v>
      </c>
    </row>
    <row r="968" spans="1:1" x14ac:dyDescent="0.35">
      <c r="A968" s="2">
        <v>45893</v>
      </c>
    </row>
    <row r="969" spans="1:1" x14ac:dyDescent="0.35">
      <c r="A969" s="2">
        <v>45894</v>
      </c>
    </row>
    <row r="970" spans="1:1" x14ac:dyDescent="0.35">
      <c r="A970" s="2">
        <v>45895</v>
      </c>
    </row>
    <row r="971" spans="1:1" x14ac:dyDescent="0.35">
      <c r="A971" s="2">
        <v>45896</v>
      </c>
    </row>
    <row r="972" spans="1:1" x14ac:dyDescent="0.35">
      <c r="A972" s="2">
        <v>45897</v>
      </c>
    </row>
    <row r="973" spans="1:1" x14ac:dyDescent="0.35">
      <c r="A973" s="2">
        <v>45898</v>
      </c>
    </row>
    <row r="974" spans="1:1" x14ac:dyDescent="0.35">
      <c r="A974" s="2">
        <v>45899</v>
      </c>
    </row>
    <row r="975" spans="1:1" x14ac:dyDescent="0.35">
      <c r="A975" s="2">
        <v>45900</v>
      </c>
    </row>
    <row r="976" spans="1:1" x14ac:dyDescent="0.35">
      <c r="A976" s="2">
        <v>45901</v>
      </c>
    </row>
    <row r="977" spans="1:1" x14ac:dyDescent="0.35">
      <c r="A977" s="2">
        <v>45902</v>
      </c>
    </row>
    <row r="978" spans="1:1" x14ac:dyDescent="0.35">
      <c r="A978" s="2">
        <v>45903</v>
      </c>
    </row>
    <row r="979" spans="1:1" x14ac:dyDescent="0.35">
      <c r="A979" s="2">
        <v>45904</v>
      </c>
    </row>
    <row r="980" spans="1:1" x14ac:dyDescent="0.35">
      <c r="A980" s="2">
        <v>45905</v>
      </c>
    </row>
    <row r="981" spans="1:1" x14ac:dyDescent="0.35">
      <c r="A981" s="2">
        <v>45906</v>
      </c>
    </row>
    <row r="982" spans="1:1" x14ac:dyDescent="0.35">
      <c r="A982" s="2">
        <v>45907</v>
      </c>
    </row>
    <row r="983" spans="1:1" x14ac:dyDescent="0.35">
      <c r="A983" s="2">
        <v>45908</v>
      </c>
    </row>
    <row r="984" spans="1:1" x14ac:dyDescent="0.35">
      <c r="A984" s="2">
        <v>45909</v>
      </c>
    </row>
    <row r="985" spans="1:1" x14ac:dyDescent="0.35">
      <c r="A985" s="2">
        <v>45910</v>
      </c>
    </row>
    <row r="986" spans="1:1" x14ac:dyDescent="0.35">
      <c r="A986" s="2">
        <v>45911</v>
      </c>
    </row>
    <row r="987" spans="1:1" x14ac:dyDescent="0.35">
      <c r="A987" s="2">
        <v>45912</v>
      </c>
    </row>
    <row r="988" spans="1:1" x14ac:dyDescent="0.35">
      <c r="A988" s="2">
        <v>45913</v>
      </c>
    </row>
    <row r="989" spans="1:1" x14ac:dyDescent="0.35">
      <c r="A989" s="2">
        <v>45914</v>
      </c>
    </row>
    <row r="990" spans="1:1" x14ac:dyDescent="0.35">
      <c r="A990" s="2">
        <v>45915</v>
      </c>
    </row>
    <row r="991" spans="1:1" x14ac:dyDescent="0.35">
      <c r="A991" s="2">
        <v>45916</v>
      </c>
    </row>
    <row r="992" spans="1:1" x14ac:dyDescent="0.35">
      <c r="A992" s="2">
        <v>45917</v>
      </c>
    </row>
    <row r="993" spans="1:1" x14ac:dyDescent="0.35">
      <c r="A993" s="2">
        <v>45918</v>
      </c>
    </row>
    <row r="994" spans="1:1" x14ac:dyDescent="0.35">
      <c r="A994" s="2">
        <v>45919</v>
      </c>
    </row>
    <row r="995" spans="1:1" x14ac:dyDescent="0.35">
      <c r="A995" s="2">
        <v>45920</v>
      </c>
    </row>
    <row r="996" spans="1:1" x14ac:dyDescent="0.35">
      <c r="A996" s="2">
        <v>45921</v>
      </c>
    </row>
    <row r="997" spans="1:1" x14ac:dyDescent="0.35">
      <c r="A997" s="2">
        <v>45922</v>
      </c>
    </row>
    <row r="998" spans="1:1" x14ac:dyDescent="0.35">
      <c r="A998" s="2">
        <v>45923</v>
      </c>
    </row>
    <row r="999" spans="1:1" x14ac:dyDescent="0.35">
      <c r="A999" s="2">
        <v>45924</v>
      </c>
    </row>
    <row r="1000" spans="1:1" x14ac:dyDescent="0.35">
      <c r="A1000" s="2">
        <v>45925</v>
      </c>
    </row>
    <row r="1001" spans="1:1" x14ac:dyDescent="0.35">
      <c r="A1001" s="2">
        <v>45926</v>
      </c>
    </row>
    <row r="1002" spans="1:1" x14ac:dyDescent="0.35">
      <c r="A1002" s="2">
        <v>45927</v>
      </c>
    </row>
    <row r="1003" spans="1:1" x14ac:dyDescent="0.35">
      <c r="A1003" s="2">
        <v>45928</v>
      </c>
    </row>
    <row r="1004" spans="1:1" x14ac:dyDescent="0.35">
      <c r="A1004" s="2">
        <v>45929</v>
      </c>
    </row>
    <row r="1005" spans="1:1" x14ac:dyDescent="0.35">
      <c r="A1005" s="2">
        <v>45930</v>
      </c>
    </row>
    <row r="1006" spans="1:1" x14ac:dyDescent="0.35">
      <c r="A1006" s="2">
        <v>45931</v>
      </c>
    </row>
    <row r="1007" spans="1:1" x14ac:dyDescent="0.35">
      <c r="A1007" s="2">
        <v>45932</v>
      </c>
    </row>
    <row r="1008" spans="1:1" x14ac:dyDescent="0.35">
      <c r="A1008" s="2">
        <v>45933</v>
      </c>
    </row>
    <row r="1009" spans="1:1" x14ac:dyDescent="0.35">
      <c r="A1009" s="2">
        <v>45934</v>
      </c>
    </row>
    <row r="1010" spans="1:1" x14ac:dyDescent="0.35">
      <c r="A1010" s="2">
        <v>45935</v>
      </c>
    </row>
    <row r="1011" spans="1:1" x14ac:dyDescent="0.35">
      <c r="A1011" s="2">
        <v>45936</v>
      </c>
    </row>
    <row r="1012" spans="1:1" x14ac:dyDescent="0.35">
      <c r="A1012" s="2">
        <v>45937</v>
      </c>
    </row>
    <row r="1013" spans="1:1" x14ac:dyDescent="0.35">
      <c r="A1013" s="2">
        <v>45938</v>
      </c>
    </row>
    <row r="1014" spans="1:1" x14ac:dyDescent="0.35">
      <c r="A1014" s="2">
        <v>45939</v>
      </c>
    </row>
    <row r="1015" spans="1:1" x14ac:dyDescent="0.35">
      <c r="A1015" s="2">
        <v>45940</v>
      </c>
    </row>
    <row r="1016" spans="1:1" x14ac:dyDescent="0.35">
      <c r="A1016" s="2">
        <v>45941</v>
      </c>
    </row>
    <row r="1017" spans="1:1" x14ac:dyDescent="0.35">
      <c r="A1017" s="2">
        <v>45942</v>
      </c>
    </row>
    <row r="1018" spans="1:1" x14ac:dyDescent="0.35">
      <c r="A1018" s="2">
        <v>45943</v>
      </c>
    </row>
    <row r="1019" spans="1:1" x14ac:dyDescent="0.35">
      <c r="A1019" s="2">
        <v>45944</v>
      </c>
    </row>
    <row r="1020" spans="1:1" x14ac:dyDescent="0.35">
      <c r="A1020" s="2">
        <v>45945</v>
      </c>
    </row>
    <row r="1021" spans="1:1" x14ac:dyDescent="0.35">
      <c r="A1021" s="2">
        <v>45946</v>
      </c>
    </row>
    <row r="1022" spans="1:1" x14ac:dyDescent="0.35">
      <c r="A1022" s="2">
        <v>45947</v>
      </c>
    </row>
    <row r="1023" spans="1:1" x14ac:dyDescent="0.35">
      <c r="A1023" s="2">
        <v>45948</v>
      </c>
    </row>
    <row r="1024" spans="1:1" x14ac:dyDescent="0.35">
      <c r="A1024" s="2">
        <v>45949</v>
      </c>
    </row>
    <row r="1025" spans="1:1" x14ac:dyDescent="0.35">
      <c r="A1025" s="2">
        <v>45950</v>
      </c>
    </row>
    <row r="1026" spans="1:1" x14ac:dyDescent="0.35">
      <c r="A1026" s="2">
        <v>45951</v>
      </c>
    </row>
    <row r="1027" spans="1:1" x14ac:dyDescent="0.35">
      <c r="A1027" s="2">
        <v>45952</v>
      </c>
    </row>
    <row r="1028" spans="1:1" x14ac:dyDescent="0.35">
      <c r="A1028" s="2">
        <v>45953</v>
      </c>
    </row>
    <row r="1029" spans="1:1" x14ac:dyDescent="0.35">
      <c r="A1029" s="2">
        <v>45954</v>
      </c>
    </row>
    <row r="1030" spans="1:1" x14ac:dyDescent="0.35">
      <c r="A1030" s="2">
        <v>45955</v>
      </c>
    </row>
    <row r="1031" spans="1:1" x14ac:dyDescent="0.35">
      <c r="A1031" s="2">
        <v>45956</v>
      </c>
    </row>
    <row r="1032" spans="1:1" x14ac:dyDescent="0.35">
      <c r="A1032" s="2">
        <v>45957</v>
      </c>
    </row>
    <row r="1033" spans="1:1" x14ac:dyDescent="0.35">
      <c r="A1033" s="2">
        <v>45958</v>
      </c>
    </row>
    <row r="1034" spans="1:1" x14ac:dyDescent="0.35">
      <c r="A1034" s="2">
        <v>45959</v>
      </c>
    </row>
    <row r="1035" spans="1:1" x14ac:dyDescent="0.35">
      <c r="A1035" s="2">
        <v>45960</v>
      </c>
    </row>
    <row r="1036" spans="1:1" x14ac:dyDescent="0.35">
      <c r="A1036" s="2">
        <v>45961</v>
      </c>
    </row>
    <row r="1037" spans="1:1" x14ac:dyDescent="0.35">
      <c r="A1037" s="2">
        <v>45962</v>
      </c>
    </row>
    <row r="1038" spans="1:1" x14ac:dyDescent="0.35">
      <c r="A1038" s="2">
        <v>45963</v>
      </c>
    </row>
    <row r="1039" spans="1:1" x14ac:dyDescent="0.35">
      <c r="A1039" s="2">
        <v>45964</v>
      </c>
    </row>
    <row r="1040" spans="1:1" x14ac:dyDescent="0.35">
      <c r="A1040" s="2">
        <v>45965</v>
      </c>
    </row>
    <row r="1041" spans="1:1" x14ac:dyDescent="0.35">
      <c r="A1041" s="2">
        <v>45966</v>
      </c>
    </row>
    <row r="1042" spans="1:1" x14ac:dyDescent="0.35">
      <c r="A1042" s="2">
        <v>45967</v>
      </c>
    </row>
    <row r="1043" spans="1:1" x14ac:dyDescent="0.35">
      <c r="A1043" s="2">
        <v>45968</v>
      </c>
    </row>
    <row r="1044" spans="1:1" x14ac:dyDescent="0.35">
      <c r="A1044" s="2">
        <v>45969</v>
      </c>
    </row>
    <row r="1045" spans="1:1" x14ac:dyDescent="0.35">
      <c r="A1045" s="2">
        <v>45970</v>
      </c>
    </row>
    <row r="1046" spans="1:1" x14ac:dyDescent="0.35">
      <c r="A1046" s="2">
        <v>45971</v>
      </c>
    </row>
    <row r="1047" spans="1:1" x14ac:dyDescent="0.35">
      <c r="A1047" s="2">
        <v>45972</v>
      </c>
    </row>
    <row r="1048" spans="1:1" x14ac:dyDescent="0.35">
      <c r="A1048" s="2">
        <v>45973</v>
      </c>
    </row>
    <row r="1049" spans="1:1" x14ac:dyDescent="0.35">
      <c r="A1049" s="2">
        <v>45974</v>
      </c>
    </row>
    <row r="1050" spans="1:1" x14ac:dyDescent="0.35">
      <c r="A1050" s="2">
        <v>45975</v>
      </c>
    </row>
    <row r="1051" spans="1:1" x14ac:dyDescent="0.35">
      <c r="A1051" s="2">
        <v>45976</v>
      </c>
    </row>
    <row r="1052" spans="1:1" x14ac:dyDescent="0.35">
      <c r="A1052" s="2">
        <v>45977</v>
      </c>
    </row>
    <row r="1053" spans="1:1" x14ac:dyDescent="0.35">
      <c r="A1053" s="2">
        <v>45978</v>
      </c>
    </row>
    <row r="1054" spans="1:1" x14ac:dyDescent="0.35">
      <c r="A1054" s="2">
        <v>45979</v>
      </c>
    </row>
    <row r="1055" spans="1:1" x14ac:dyDescent="0.35">
      <c r="A1055" s="2">
        <v>45980</v>
      </c>
    </row>
    <row r="1056" spans="1:1" x14ac:dyDescent="0.35">
      <c r="A1056" s="2">
        <v>45981</v>
      </c>
    </row>
    <row r="1057" spans="1:1" x14ac:dyDescent="0.35">
      <c r="A1057" s="2">
        <v>45982</v>
      </c>
    </row>
    <row r="1058" spans="1:1" x14ac:dyDescent="0.35">
      <c r="A1058" s="2">
        <v>45983</v>
      </c>
    </row>
    <row r="1059" spans="1:1" x14ac:dyDescent="0.35">
      <c r="A1059" s="2">
        <v>45984</v>
      </c>
    </row>
    <row r="1060" spans="1:1" x14ac:dyDescent="0.35">
      <c r="A1060" s="2">
        <v>45985</v>
      </c>
    </row>
    <row r="1061" spans="1:1" x14ac:dyDescent="0.35">
      <c r="A1061" s="2">
        <v>45986</v>
      </c>
    </row>
    <row r="1062" spans="1:1" x14ac:dyDescent="0.35">
      <c r="A1062" s="2">
        <v>45987</v>
      </c>
    </row>
    <row r="1063" spans="1:1" x14ac:dyDescent="0.35">
      <c r="A1063" s="2">
        <v>45988</v>
      </c>
    </row>
    <row r="1064" spans="1:1" x14ac:dyDescent="0.35">
      <c r="A1064" s="2">
        <v>45989</v>
      </c>
    </row>
    <row r="1065" spans="1:1" x14ac:dyDescent="0.35">
      <c r="A1065" s="2">
        <v>45990</v>
      </c>
    </row>
    <row r="1066" spans="1:1" x14ac:dyDescent="0.35">
      <c r="A1066" s="2">
        <v>45991</v>
      </c>
    </row>
    <row r="1067" spans="1:1" x14ac:dyDescent="0.35">
      <c r="A1067" s="2">
        <v>45992</v>
      </c>
    </row>
    <row r="1068" spans="1:1" x14ac:dyDescent="0.35">
      <c r="A1068" s="2">
        <v>45993</v>
      </c>
    </row>
    <row r="1069" spans="1:1" x14ac:dyDescent="0.35">
      <c r="A1069" s="2">
        <v>45994</v>
      </c>
    </row>
    <row r="1070" spans="1:1" x14ac:dyDescent="0.35">
      <c r="A1070" s="2">
        <v>45995</v>
      </c>
    </row>
    <row r="1071" spans="1:1" x14ac:dyDescent="0.35">
      <c r="A1071" s="2">
        <v>45996</v>
      </c>
    </row>
    <row r="1072" spans="1:1" x14ac:dyDescent="0.35">
      <c r="A1072" s="2">
        <v>45997</v>
      </c>
    </row>
    <row r="1073" spans="1:1" x14ac:dyDescent="0.35">
      <c r="A1073" s="2">
        <v>45998</v>
      </c>
    </row>
    <row r="1074" spans="1:1" x14ac:dyDescent="0.35">
      <c r="A1074" s="2">
        <v>45999</v>
      </c>
    </row>
    <row r="1075" spans="1:1" x14ac:dyDescent="0.35">
      <c r="A1075" s="2">
        <v>46000</v>
      </c>
    </row>
    <row r="1076" spans="1:1" x14ac:dyDescent="0.35">
      <c r="A1076" s="2">
        <v>46001</v>
      </c>
    </row>
    <row r="1077" spans="1:1" x14ac:dyDescent="0.35">
      <c r="A1077" s="2">
        <v>46002</v>
      </c>
    </row>
    <row r="1078" spans="1:1" x14ac:dyDescent="0.35">
      <c r="A1078" s="2">
        <v>46003</v>
      </c>
    </row>
    <row r="1079" spans="1:1" x14ac:dyDescent="0.35">
      <c r="A1079" s="2">
        <v>46004</v>
      </c>
    </row>
    <row r="1080" spans="1:1" x14ac:dyDescent="0.35">
      <c r="A1080" s="2">
        <v>46005</v>
      </c>
    </row>
    <row r="1081" spans="1:1" x14ac:dyDescent="0.35">
      <c r="A1081" s="2">
        <v>46006</v>
      </c>
    </row>
    <row r="1082" spans="1:1" x14ac:dyDescent="0.35">
      <c r="A1082" s="2">
        <v>46007</v>
      </c>
    </row>
    <row r="1083" spans="1:1" x14ac:dyDescent="0.35">
      <c r="A1083" s="2">
        <v>46008</v>
      </c>
    </row>
    <row r="1084" spans="1:1" x14ac:dyDescent="0.35">
      <c r="A1084" s="2">
        <v>46009</v>
      </c>
    </row>
    <row r="1085" spans="1:1" x14ac:dyDescent="0.35">
      <c r="A1085" s="2">
        <v>46010</v>
      </c>
    </row>
    <row r="1086" spans="1:1" x14ac:dyDescent="0.35">
      <c r="A1086" s="2">
        <v>46011</v>
      </c>
    </row>
    <row r="1087" spans="1:1" x14ac:dyDescent="0.35">
      <c r="A1087" s="2">
        <v>46012</v>
      </c>
    </row>
    <row r="1088" spans="1:1" x14ac:dyDescent="0.35">
      <c r="A1088" s="2">
        <v>46013</v>
      </c>
    </row>
    <row r="1089" spans="1:1" x14ac:dyDescent="0.35">
      <c r="A1089" s="2">
        <v>46014</v>
      </c>
    </row>
    <row r="1090" spans="1:1" x14ac:dyDescent="0.35">
      <c r="A1090" s="2">
        <v>46015</v>
      </c>
    </row>
    <row r="1091" spans="1:1" x14ac:dyDescent="0.35">
      <c r="A1091" s="2">
        <v>46016</v>
      </c>
    </row>
    <row r="1092" spans="1:1" x14ac:dyDescent="0.35">
      <c r="A1092" s="2">
        <v>46017</v>
      </c>
    </row>
    <row r="1093" spans="1:1" x14ac:dyDescent="0.35">
      <c r="A1093" s="2">
        <v>46018</v>
      </c>
    </row>
    <row r="1094" spans="1:1" x14ac:dyDescent="0.35">
      <c r="A1094" s="2">
        <v>46019</v>
      </c>
    </row>
    <row r="1095" spans="1:1" x14ac:dyDescent="0.35">
      <c r="A1095" s="2">
        <v>46020</v>
      </c>
    </row>
    <row r="1096" spans="1:1" x14ac:dyDescent="0.35">
      <c r="A1096" s="2">
        <v>46021</v>
      </c>
    </row>
    <row r="1097" spans="1:1" x14ac:dyDescent="0.35">
      <c r="A1097" s="2">
        <v>46022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7"/>
  <sheetViews>
    <sheetView workbookViewId="0">
      <selection activeCell="C13" sqref="C13"/>
    </sheetView>
  </sheetViews>
  <sheetFormatPr defaultRowHeight="14.5" x14ac:dyDescent="0.35"/>
  <cols>
    <col min="1" max="1" width="15.1796875" customWidth="1"/>
    <col min="2" max="2" width="8" customWidth="1"/>
    <col min="3" max="3" width="21.1796875" bestFit="1" customWidth="1"/>
    <col min="7" max="7" width="14" bestFit="1" customWidth="1"/>
    <col min="8" max="8" width="8.81640625" bestFit="1" customWidth="1"/>
  </cols>
  <sheetData>
    <row r="1" spans="1:15" x14ac:dyDescent="0.35">
      <c r="A1" s="21" t="s">
        <v>1479</v>
      </c>
      <c r="B1" s="21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35">
      <c r="A2" t="s">
        <v>1472</v>
      </c>
      <c r="B2" t="s">
        <v>1475</v>
      </c>
      <c r="C2" t="s">
        <v>1476</v>
      </c>
      <c r="D2" t="s">
        <v>1477</v>
      </c>
    </row>
    <row r="3" spans="1:15" x14ac:dyDescent="0.35">
      <c r="A3" s="1">
        <v>11817974.960000001</v>
      </c>
      <c r="B3" s="1">
        <v>5427</v>
      </c>
      <c r="C3" s="1">
        <v>31611670</v>
      </c>
      <c r="D3" s="1">
        <v>52300532</v>
      </c>
      <c r="G3" s="21" t="s">
        <v>1506</v>
      </c>
      <c r="H3" s="21"/>
      <c r="K3" s="13" t="s">
        <v>1483</v>
      </c>
    </row>
    <row r="4" spans="1:15" x14ac:dyDescent="0.35">
      <c r="G4" t="s">
        <v>1478</v>
      </c>
      <c r="H4" s="9">
        <v>13945122</v>
      </c>
      <c r="K4" s="9">
        <v>13945122</v>
      </c>
      <c r="L4" s="9">
        <v>52300532</v>
      </c>
      <c r="M4" s="5">
        <f>N4/L4</f>
        <v>0.73336558029658283</v>
      </c>
      <c r="N4" s="9">
        <f>IF(L4&gt;K4,L4-K4,"p")</f>
        <v>38355410</v>
      </c>
      <c r="O4" t="str">
        <f>IF(L4&gt;K4,"AWAY_FORM_TARGET","ACHIVE_TARGET")</f>
        <v>AWAY_FORM_TARGET</v>
      </c>
    </row>
    <row r="5" spans="1:15" x14ac:dyDescent="0.35">
      <c r="G5" s="1">
        <v>17132436</v>
      </c>
      <c r="H5" s="9">
        <v>52300532</v>
      </c>
      <c r="K5" s="6" t="s">
        <v>1484</v>
      </c>
    </row>
    <row r="6" spans="1:15" x14ac:dyDescent="0.35">
      <c r="H6" t="str">
        <f>IF(H5&gt;H4,"LOSS","PROFIT")</f>
        <v>LOSS</v>
      </c>
      <c r="K6" s="9">
        <v>2127147.0400000033</v>
      </c>
    </row>
    <row r="10" spans="1:15" x14ac:dyDescent="0.35">
      <c r="E10" s="22" t="s">
        <v>1489</v>
      </c>
      <c r="F10" s="22"/>
    </row>
    <row r="11" spans="1:15" x14ac:dyDescent="0.35">
      <c r="E11" s="4" t="s">
        <v>2</v>
      </c>
      <c r="F11" t="s">
        <v>1460</v>
      </c>
    </row>
    <row r="12" spans="1:15" x14ac:dyDescent="0.35">
      <c r="E12" t="s">
        <v>507</v>
      </c>
      <c r="F12" s="1">
        <v>118498.35</v>
      </c>
    </row>
    <row r="13" spans="1:15" x14ac:dyDescent="0.35">
      <c r="E13" t="s">
        <v>20</v>
      </c>
      <c r="F13" s="1">
        <v>119929.65</v>
      </c>
    </row>
    <row r="14" spans="1:15" x14ac:dyDescent="0.35">
      <c r="E14" t="s">
        <v>103</v>
      </c>
      <c r="F14" s="1">
        <v>136579.57999999999</v>
      </c>
    </row>
    <row r="15" spans="1:15" x14ac:dyDescent="0.35">
      <c r="E15" t="s">
        <v>231</v>
      </c>
      <c r="F15" s="1">
        <v>172644.9</v>
      </c>
    </row>
    <row r="16" spans="1:15" x14ac:dyDescent="0.35">
      <c r="E16" t="s">
        <v>296</v>
      </c>
      <c r="F16" s="1">
        <v>179984.77</v>
      </c>
    </row>
    <row r="17" spans="5:6" x14ac:dyDescent="0.35">
      <c r="E17" t="s">
        <v>1454</v>
      </c>
      <c r="F17" s="1">
        <v>727637.25</v>
      </c>
    </row>
  </sheetData>
  <mergeCells count="3">
    <mergeCell ref="G3:H3"/>
    <mergeCell ref="A1:B1"/>
    <mergeCell ref="E10:F10"/>
  </mergeCells>
  <pageMargins left="0.7" right="0.7" top="0.75" bottom="0.75" header="0.3" footer="0.3"/>
  <pageSetup paperSize="9"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664CD4-952B-4415-A476-9896285895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Pivot_table_analysis</vt:lpstr>
      <vt:lpstr>sales_data</vt:lpstr>
      <vt:lpstr>expense_data</vt:lpstr>
      <vt:lpstr>budget_data</vt:lpstr>
      <vt:lpstr>customer_data</vt:lpstr>
      <vt:lpstr>region_table</vt:lpstr>
      <vt:lpstr>date_table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2026-03-05T10:25:01Z</dcterms:created>
  <dcterms:modified xsi:type="dcterms:W3CDTF">2026-07-20T05:01:35Z</dcterms:modified>
</cp:coreProperties>
</file>